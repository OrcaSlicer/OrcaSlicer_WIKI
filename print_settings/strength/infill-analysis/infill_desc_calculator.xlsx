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EA1A4052-5379-4132-98BC-3AF523465F30}"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<sst xmlns="http://schemas.openxmlformats.org/spreadsheetml/2006/main" count="435" uniqueCount="246">
  <si>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</si>
  <si>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</si>
  <si>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</si>
  <si>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</si>
  <si>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</si>
  <si>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</si>
  <si>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</si>
  <si>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</si>
  <si>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</si>
  <si>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</si>
  <si>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</si>
  <si>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</si>
  <si>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</si>
  <si>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</si>
  <si>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</si>
  <si>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</si>
  <si>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</si>
  <si>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</si>
  <si>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</si>
  <si>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</si>
  <si>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</si>
  <si>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</si>
  <si>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</si>
  <si>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</si>
  <si>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</si>
  <si>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</si>
  <si>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</si>
  <si>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</si>
  <si>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</si>
  <si>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</si>
  <si>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</si>
  <si>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</si>
  <si>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</si>
  <si>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</si>
  <si>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</si>
  <si>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</si>
  <si>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</si>
  <si>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</si>
  <si>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</si>
  <si>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</si>
  <si>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</si>
  <si>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</si>
  <si>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</si>
  <si>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</si>
  <si>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</si>
  <si>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</si>
  <si>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</si>
  <si>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</si>
  <si>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</si>
  <si>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</si>
  <si>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</si>
  <si>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</si>
  <si>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</si>
  <si>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</si>
  <si>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</si>
  <si>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</si>
  <si>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</si>
  <si>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</si>
  <si>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</si>
  <si>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</si>
  <si>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</si>
  <si>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</si>
  <si>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</si>
  <si>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</si>
  <si>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</si>
  <si>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</si>
  <si>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</si>
  <si>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</si>
  <si>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</si>
  <si>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</si>
  <si>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</si>
  <si>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</si>
  <si>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</si>
  <si>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</si>
  <si>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</si>
  <si>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</si>
  <si>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</si>
  <si>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</si>
  <si>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</si>
  <si>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</si>
  <si>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</si>
  <si>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</si>
  <si>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</si>
  <si>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</si>
  <si>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</si>
  <si>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</si>
  <si>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</si>
  <si>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</si>
  <si>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</si>
  <si>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</si>
  <si>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</si>
  <si>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</si>
  <si>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</si>
  <si>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</si>
  <si>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</si>
  <si>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</si>
  <si>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</si>
  <si>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</si>
  <si>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</si>
  <si>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</si>
  <si>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</si>
  <si>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</si>
  <si>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</si>
  <si>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</si>
  <si>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</si>
  <si>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</si>
  <si>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</si>
  <si>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</si>
  <si>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</si>
  <si>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</si>
  <si>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</si>
  <si>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</si>
  <si>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</si>
  <si>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</si>
  <si>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</si>
  <si>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</si>
  <si>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</si>
  <si>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</si>
  <si>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</si>
  <si>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</si>
  <si>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</si>
  <si>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</si>
  <si>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</si>
  <si>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</si>
  <si>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</si>
  <si>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</si>
  <si>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</si>
  <si>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</si>
  <si>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</si>
  <si>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</si>
  <si>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</si>
  <si>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</si>
  <si>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</si>
  <si>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</si>
  <si>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</si>
  <si>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</si>
  <si>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</si>
  <si>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</si>
  <si>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</si>
  <si>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</si>
  <si>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</si>
  <si>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</si>
  <si>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</si>
  <si>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</si>
  <si>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</si>
  <si>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</si>
  <si>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</si>
  <si>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</si>
  <si>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</si>
  <si>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</si>
  <si>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</si>
  <si>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</si>
  <si>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</si>
  <si>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</si>
  <si>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</si>
  <si>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</si>
  <si>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</si>
  <si>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</si>
  <si>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</si>
  <si>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</si>
  <si>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</si>
  <si>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</si>
  <si>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</si>
  <si>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</si>
  <si>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</si>
  <si>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</si>
  <si>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</si>
  <si>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</si>
  <si>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</si>
  <si>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</si>
  <si>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</si>
  <si>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</si>
  <si>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</si>
  <si>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</si>
  <si>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</si>
  <si>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</si>
  <si>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</si>
  <si>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</si>
  <si>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</si>
  <si>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</si>
  <si>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</si>
  <si>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</si>
  <si>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</si>
  <si>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</si>
  <si>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</si>
  <si>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</si>
  <si>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</si>
  <si>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</si>
  <si>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</si>
  <si>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</si>
  <si>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</si>
  <si>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</si>
  <si>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</si>
  <si>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</si>
  <si>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</si>
  <si>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</si>
  <si>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</si>
  <si>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</si>
  <si>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</si>
  <si>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</si>
  <si>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</si>
  <si>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</si>
  <si>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</si>
  <si>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</si>
  <si>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</si>
  <si>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</si>
  <si>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</si>
  <si>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</si>
  <si>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</si>
  <si>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</si>
  <si>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</si>
  <si>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</si>
  <si>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</si>
  <si>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</si>
  <si>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</si>
  <si>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</si>
  <si>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</si>
  <si>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</si>
  <si>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</si>
  <si>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</si>
  <si>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</si>
  <si>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</si>
  <si>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</si>
  <si>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</si>
  <si>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</si>
  <si>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</si>
  <si>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</si>
  <si>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</si>
  <si>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</si>
  <si>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</si>
  <si>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</si>
  <si>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</si>
  <si>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</si>
  <si>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</si>
  <si>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</si>
  <si>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</si>
  <si>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</si>
  <si>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</si>
  <si>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</si>
  <si>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</si>
  <si>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</si>
  <si>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</si>
  <si>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</si>
  <si>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</si>
  <si>
    <t>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t>
  </si>
  <si>
    <t>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</si>
</sst>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U32">
  <autoFilter ref="E1:AU32" xr:uid="{14E0E815-2798-4AE1-A846-B8CADCC14BD7}"/>
  <tableColumns count="43">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43" name="Smooth Factor"/>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W1:BC32" totalsRowShown="0">
  <autoFilter ref="AW1:BC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"["&amp;Infill[[#This Row],[name]]&amp;"](strength_settings_patterns#"&amp;Infill[[#This Row],[nameMD]]&amp;")"</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 Icon]]</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8">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7">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6"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5"/>
    <tableColumn id="14" xr3:uid="{B7D582DD-7DD8-409A-9ED9-0D0DF300B44C}" name="Total Time" dataDxfId="4"/>
    <tableColumn id="4" xr3:uid="{DAEC2DF7-5DDA-4445-B090-54F1A0565FAD}" name="g" dataDxfId="3"/>
    <tableColumn id="8" xr3:uid="{35A80555-3F8E-44CE-8C1A-779513C99493}" name="LT Prom" dataDxfId="2">
      <calculatedColumnFormula>AVERAGE(INDIRECT("layertime[" &amp; Tabla7[[#This Row],[infill]] &amp; "]"))</calculatedColumnFormula>
    </tableColumn>
    <tableColumn id="16" xr3:uid="{EB4AA278-7316-48CB-8C05-73C5AD254B46}" name="2 Sigma" dataDxfId="1">
      <calculatedColumnFormula>Tabla7[[#This Row],[LT Prom]]+2*_xlfn.STDEV.P(INDIRECT("layertime[" &amp; Tabla7[[#This Row],[infill]] &amp; "]"))</calculatedColumnFormula>
    </tableColumn>
    <tableColumn id="12" xr3:uid="{C6E1639D-A5D3-4CB5-89B5-0B628AA0B3A2}" name="% 2 Sigma" dataDxfId="0"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C36"/>
  <sheetViews>
    <sheetView tabSelected="1" topLeftCell="B17" zoomScale="70" zoomScaleNormal="70" workbookViewId="0">
      <selection activeCell="P17" sqref="P17"/>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6" max="16" width="30.7109375" bestFit="1" customWidth="1"/>
    <col min="17" max="17" width="11.140625" bestFit="1" customWidth="1"/>
    <col min="18" max="18" width="11.140625" customWidth="1"/>
    <col min="19" max="19" width="20" bestFit="1" customWidth="1"/>
    <col min="20" max="20" width="9.28515625" bestFit="1" customWidth="1"/>
    <col min="21" max="21" width="9.28515625" customWidth="1"/>
    <col min="22" max="22" width="16.85546875" bestFit="1" customWidth="1"/>
    <col min="23" max="23" width="16.7109375" bestFit="1" customWidth="1"/>
    <col min="24" max="24" width="28.7109375" bestFit="1" customWidth="1"/>
    <col min="25" max="25" width="28.7109375" customWidth="1"/>
    <col min="26" max="26" width="52.140625" bestFit="1" customWidth="1"/>
    <col min="27" max="27" width="10" bestFit="1" customWidth="1"/>
    <col min="28" max="28" width="17.7109375" bestFit="1" customWidth="1"/>
    <col min="29" max="29" width="17.7109375" customWidth="1"/>
    <col min="30" max="30" width="21.7109375" bestFit="1" customWidth="1"/>
    <col min="31" max="31" width="16.7109375" bestFit="1" customWidth="1"/>
    <col min="32" max="32" width="12" bestFit="1" customWidth="1"/>
    <col min="33" max="33" width="12" customWidth="1"/>
    <col min="34" max="34" width="16.28515625" bestFit="1" customWidth="1"/>
    <col min="35" max="35" width="8.28515625" bestFit="1" customWidth="1"/>
    <col min="36" max="36" width="14.28515625" bestFit="1" customWidth="1"/>
    <col min="37" max="37" width="14.28515625" customWidth="1"/>
    <col min="38" max="38" width="20.140625" bestFit="1" customWidth="1"/>
    <col min="39" max="39" width="21.5703125" bestFit="1" customWidth="1"/>
    <col min="40" max="40" width="27.85546875" bestFit="1" customWidth="1"/>
    <col min="41" max="41" width="166" bestFit="1" customWidth="1"/>
    <col min="42" max="42" width="45.85546875" bestFit="1" customWidth="1"/>
    <col min="43" max="43" width="119.5703125" bestFit="1" customWidth="1"/>
    <col min="44" max="44" width="255.7109375" bestFit="1" customWidth="1"/>
    <col min="45" max="45" width="48.140625" bestFit="1" customWidth="1"/>
    <col min="46" max="46" width="54.28515625" bestFit="1" customWidth="1"/>
    <col min="47" max="47" width="56.85546875" bestFit="1" customWidth="1"/>
    <col min="48" max="48" width="12.5703125" bestFit="1" customWidth="1"/>
    <col min="49" max="49" width="139.140625" bestFit="1" customWidth="1"/>
    <col min="50" max="50" width="45.85546875" bestFit="1" customWidth="1"/>
    <col min="51" max="51" width="21.5703125" bestFit="1" customWidth="1"/>
    <col min="52" max="52" width="21.7109375" customWidth="1"/>
    <col min="53" max="53" width="16.42578125" bestFit="1" customWidth="1"/>
    <col min="54" max="54" width="28.7109375" bestFit="1" customWidth="1"/>
  </cols>
  <sheetData>
    <row r="1" spans="1:55" x14ac:dyDescent="0.25">
      <c r="A1" t="s">
        <v>35</v>
      </c>
      <c r="B1" t="s">
        <v>36</v>
      </c>
      <c r="E1" t="s">
        <v>159</v>
      </c>
      <c r="F1" t="s">
        <v>144</v>
      </c>
      <c r="G1" t="s">
        <v>145</v>
      </c>
      <c r="H1" t="s">
        <v>166</v>
      </c>
      <c r="I1" t="s">
        <v>116</v>
      </c>
      <c r="J1" t="s">
        <v>149</v>
      </c>
      <c r="K1" t="s">
        <v>115</v>
      </c>
      <c r="L1" t="s">
        <v>141</v>
      </c>
      <c r="M1" t="s">
        <v>214</v>
      </c>
      <c r="N1" t="s">
        <v>242</v>
      </c>
      <c r="O1" t="inlineStr">
        <is>
          <t>Smooth Factor</t>
        </is>
      </c>
      <c r="P1" t="s">
        <v>37</v>
      </c>
      <c r="Q1" t="s">
        <v>41</v>
      </c>
      <c r="R1" t="s">
        <v>26</v>
      </c>
      <c r="S1" t="s">
        <v>225</v>
      </c>
      <c r="T1" t="s">
        <v>42</v>
      </c>
      <c r="U1" t="s">
        <v>27</v>
      </c>
      <c r="V1" t="s">
        <v>226</v>
      </c>
      <c r="W1" t="s">
        <v>191</v>
      </c>
      <c r="X1" t="s">
        <v>184</v>
      </c>
      <c r="Y1" t="s">
        <v>236</v>
      </c>
      <c r="Z1" t="s">
        <v>25</v>
      </c>
      <c r="AA1" t="s">
        <v>28</v>
      </c>
      <c r="AB1" t="s">
        <v>69</v>
      </c>
      <c r="AC1" t="s">
        <v>19</v>
      </c>
      <c r="AD1" t="s">
        <v>222</v>
      </c>
      <c r="AE1" s="1" t="s">
        <v>43</v>
      </c>
      <c r="AF1" t="s">
        <v>71</v>
      </c>
      <c r="AG1" t="s">
        <v>78</v>
      </c>
      <c r="AH1" t="s">
        <v>223</v>
      </c>
      <c r="AI1" t="s">
        <v>44</v>
      </c>
      <c r="AJ1" t="s">
        <v>70</v>
      </c>
      <c r="AK1" t="s">
        <v>63</v>
      </c>
      <c r="AL1" t="s">
        <v>224</v>
      </c>
      <c r="AM1" t="s">
        <v>163</v>
      </c>
      <c r="AN1" t="s">
        <v>154</v>
      </c>
      <c r="AO1" t="s">
        <v>155</v>
      </c>
      <c r="AP1" t="s">
        <v>79</v>
      </c>
      <c r="AQ1" t="s">
        <v>171</v>
      </c>
      <c r="AR1" t="s">
        <v>75</v>
      </c>
      <c r="AS1" t="s">
        <v>148</v>
      </c>
      <c r="AT1" t="s">
        <v>146</v>
      </c>
      <c r="AU1" t="s">
        <v>147</v>
      </c>
      <c r="AW1" s="9" t="s">
        <v>180</v>
      </c>
      <c r="AX1" t="s">
        <v>79</v>
      </c>
      <c r="AY1" t="s">
        <v>194</v>
      </c>
      <c r="AZ1" t="s">
        <v>19</v>
      </c>
      <c r="BA1" t="s">
        <v>78</v>
      </c>
      <c r="BB1" t="s">
        <v>184</v>
      </c>
      <c r="BC1" t="s">
        <v>214</v>
      </c>
    </row>
    <row r="2" spans="1:55" ht="314.25" customHeight="1" x14ac:dyDescent="0.25">
      <c r="A2" t="s">
        <v>29</v>
      </c>
      <c r="B2" t="s">
        <v>45</v>
      </c>
      <c r="E2">
        <v>0</v>
      </c>
      <c r="F2" t="b">
        <v>0</v>
      </c>
      <c r="G2" t="b">
        <v>1</v>
      </c>
      <c r="H2" t="b">
        <v>0</v>
      </c>
      <c r="I2" t="s">
        <v>142</v>
      </c>
      <c r="J2" t="s">
        <v>150</v>
      </c>
      <c r="K2" t="s">
        <v>98</v>
      </c>
      <c r="L2" t="s">
        <v>139</v>
      </c>
      <c r="M2" t="s">
        <v>215</v>
      </c>
      <c r="N2" t="s">
        <v>215</v>
      </c>
      <c r="O2" t="inlineStr">
        <is>
          <t>N/A</t>
        </is>
      </c>
      <c r="P2" s="8" t="s">
        <v>157</v>
      </c>
      <c r="Q2">
        <v>4</v>
      </c>
      <c r="R2" t="str">
        <f>_xlfn.XLOOKUP(Infill[[#This Row],[XY-N]],Rating[N],Rating[Name])</f>
        <v>Normal</v>
      </c>
      <c r="S2" t="str">
        <f>_xlfn.XLOOKUP(Infill[[#This Row],[XY-N]],Rating[N],Rating[level-to-better])</f>
        <v>![level-to-better-4](https://github.com/OrcaSlicer/OrcaSlicer_WIKI/blob/main/images/misc/level-to-better-4.svg?raw=true)</v>
      </c>
      <c r="T2">
        <v>4</v>
      </c>
      <c r="U2" t="str">
        <f>_xlfn.XLOOKUP(Infill[[#This Row],[Z-N]],Rating[N],Rating[Name])</f>
        <v>Normal</v>
      </c>
      <c r="V2" t="str">
        <f>_xlfn.XLOOKUP(Infill[[#This Row],[Z-N]],Rating[N],Rating[level-to-better])</f>
        <v>![level-to-better-4](https://github.com/OrcaSlicer/OrcaSlicer_WIKI/blob/main/images/misc/level-to-better-4.svg?raw=true)</v>
      </c>
      <c r="W2" s="11">
        <f ca="1">_xlfn.XLOOKUP(Infill[[#This Row],[infill]],Tabla7[infill],Tabla7[% 2 Sigma])</f>
        <v>2.6864815256315566E-3</v>
      </c>
      <c r="X2" t="str">
        <f ca="1">_xlfn.XLOOKUP(Infill[[#This Row],[% 2 Sigma]],AbsRating[Max %],AbsRating[Name],,1)</f>
        <v>None</v>
      </c>
      <c r="Y2" t="str">
        <f ca="1">_xlfn.XLOOKUP(Infill[[#This Row],[% 2 Sigma]],AbsRating[Max %],AbsRating[icon],,1)</f>
        <v>![level-to-worse-0](https://github.com/OrcaSlicer/OrcaSlicer_WIKI/blob/main/images/misc/level-to-worse-0.svg?raw=true)</v>
      </c>
      <c r="Z2" s="2" t="s">
        <v>72</v>
      </c>
      <c r="AA2">
        <f>_xlfn.XLOOKUP(Infill[[#This Row],[infill]],Tabla7[infill],Tabla7[g])</f>
        <v>150.21100000000001</v>
      </c>
      <c r="AB2" s="2">
        <f>Infill[[#This Row],[g]]/(997.25*0.15)</f>
        <v>1.0041681290214757</v>
      </c>
      <c r="AC2" s="2" t="str">
        <f>_xlfn.XLOOKUP(Infill[[#This Row],[% Effective]],Rating[Max %],Rating[Name],,1)</f>
        <v>Normal</v>
      </c>
      <c r="AD2" s="2" t="str">
        <f>_xlfn.XLOOKUP(Infill[[#This Row],[% Effective]],Rating[Max %],Rating[level-to-worse],,1)</f>
        <v>![level-to-worse-4](https://github.com/OrcaSlicer/OrcaSlicer_WIKI/blob/main/images/misc/level-to-worse-4.svg?raw=true)</v>
      </c>
      <c r="AE2">
        <f>_xlfn.XLOOKUP(Infill[[#This Row],[infill]],Tabla7[infill],Tabla7[Total Time])</f>
        <v>245.49700000000001</v>
      </c>
      <c r="AF2" s="2">
        <f>Infill[[#This Row],[Total Time]]/AVERAGEIFS(Infill[Total Time],Infill[Material Usage Icon],_xlfn.XLOOKUP("Normal",Rating[Name],Rating[level-to-worse]))</f>
        <v>0.80587200041778739</v>
      </c>
      <c r="AG2" s="2" t="str">
        <f>_xlfn.XLOOKUP(Infill[[#This Row],[t prom]],Rating[Max %],Rating[Name],,1)</f>
        <v>Normal-Low</v>
      </c>
      <c r="AH2" s="2" t="str">
        <f>_xlfn.XLOOKUP(Infill[[#This Row],[t prom]],Rating[Max %],Rating[level-to-worse],,1)</f>
        <v>![level-to-worse-3](https://github.com/OrcaSlicer/OrcaSlicer_WIKI/blob/main/images/misc/level-to-worse-3.svg?raw=true)</v>
      </c>
      <c r="AI2" s="3">
        <f>Infill[[#This Row],[g]]/Infill[[#This Row],[Total Time]]</f>
        <v>0.61186491077284044</v>
      </c>
      <c r="AJ2" s="2">
        <f>Infill[[#This Row],[g/t]]/AVERAGEIFS(Infill[g/t],Infill[Material Usage Icon],_xlfn.XLOOKUP("Normal",Rating[Name],Rating[level-to-worse]))</f>
        <v>1.123020472956076</v>
      </c>
      <c r="AK2" s="2" t="str">
        <f>_xlfn.XLOOKUP(Infill[[#This Row],[g/t prom]],Rating[Max %],Rating[Name],,1)</f>
        <v>Normal-High</v>
      </c>
      <c r="AL2" s="2" t="str">
        <f>_xlfn.XLOOKUP(Infill[[#This Row],[g/t prom]],Rating[Max %],Rating[level-to-better],,1)</f>
        <v>![level-to-better-5](https://github.com/OrcaSlicer/OrcaSlicer_WIKI/blob/main/images/misc/level-to-better-5.svg?raw=true)</v>
      </c>
      <c r="AM2" s="2" t="str">
        <f>SUBSTITUTE(LOWER(Infill[[#This Row],[name]])," ","-")</f>
        <v>monotonic</v>
      </c>
      <c r="AN2" t="str">
        <f>"param_"&amp;Infill[[#This Row],[infill]]</f>
        <v>param_monotonic</v>
      </c>
      <c r="AO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P2" s="2" t="str">
        <f>"["&amp;Infill[[#This Row],[name]]&amp;"](#"&amp;Infill[[#This Row],[nameMD]]&amp;")"</f>
        <v>[Monotonic](#monotonic)</v>
      </c>
      <c r="AQ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![infill-top-monotonic](https://github.com/OrcaSlicer/OrcaSlicer_WIKI/blob/main/images/fill/infill-top-monotonic.png?raw=true)
</v>
      </c>
      <c r="AS2" t="str">
        <f>IF(OR(Infill[[#This Row],[Is Infill]],Infill[[#This Row],[Is Surface]])," { """&amp;Infill[[#This Row],[infill]]&amp;""", "&amp;Infill[[#This Row],[ip]]&amp;" },","")</f>
        <v xml:space="preserve"> { "monotonic", ipMonotonic },</v>
      </c>
      <c r="AT2" t="str">
        <f>IF(OR(Infill[[#This Row],[Is Infill]],Infill[[#This Row],[Is Surface]]),"def-&gt;enum_values.push_back("""&amp;Infill[[#This Row],[infill]]&amp;""");","")</f>
        <v>def-&gt;enum_values.push_back("monotonic");</v>
      </c>
      <c r="AU2" t="str">
        <f>IF(OR(Infill[[#This Row],[Is Infill]],Infill[[#This Row],[Is Surface]]),"def-&gt;enum_labels.push_back(L("""&amp;Infill[[#This Row],[name]]&amp;"""));","")</f>
        <v>def-&gt;enum_labels.push_back(L("Monotonic"));</v>
      </c>
      <c r="AW2" t="str">
        <f>Infill[[#This Row],[SVG Link]]</f>
        <v>&lt;img alt="param_monotonic" src="https://github.com/OrcaSlicer/OrcaSlicer/blob/main/resources/images/param_monotonic.svg?raw=true" height="45"&gt;</v>
      </c>
      <c r="AX2" s="1" t="str">
        <f>"["&amp;Infill[[#This Row],[name]]&amp;"](strength_settings_patterns#"&amp;Infill[[#This Row],[nameMD]]&amp;")"</f>
        <v>[Monotonic](strength_settings_patterns#monotonic)</v>
      </c>
      <c r="AY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2" s="1" t="str">
        <f>Infill[[#This Row],[Material Usage Icon]]</f>
        <v>![level-to-worse-4](https://github.com/OrcaSlicer/OrcaSlicer_WIKI/blob/main/images/misc/level-to-worse-4.svg?raw=true)</v>
      </c>
      <c r="BA2" s="1" t="str">
        <f>Infill[[#This Row],[Print Time Icon]]</f>
        <v>![level-to-worse-3](https://github.com/OrcaSlicer/OrcaSlicer_WIKI/blob/main/images/misc/level-to-worse-3.svg?raw=true)</v>
      </c>
      <c r="BB2" t="str">
        <f ca="1">Infill[[#This Row],[Layer time Variability Icon]]</f>
        <v>![level-to-worse-0](https://github.com/OrcaSlicer/OrcaSlicer_WIKI/blob/main/images/misc/level-to-worse-0.svg?raw=true)</v>
      </c>
      <c r="BC2" s="1" t="str">
        <f>Infill[[#This Row],[Multiline]]</f>
        <v>N/A</v>
      </c>
    </row>
    <row r="3" spans="1:55" ht="285" x14ac:dyDescent="0.25">
      <c r="A3" t="s">
        <v>30</v>
      </c>
      <c r="B3" t="s">
        <v>33</v>
      </c>
      <c r="E3">
        <v>1</v>
      </c>
      <c r="F3" t="b">
        <v>0</v>
      </c>
      <c r="G3" t="b">
        <v>1</v>
      </c>
      <c r="H3" t="b">
        <v>0</v>
      </c>
      <c r="I3" t="s">
        <v>143</v>
      </c>
      <c r="J3" t="s">
        <v>150</v>
      </c>
      <c r="K3" t="s">
        <v>99</v>
      </c>
      <c r="L3" t="s">
        <v>140</v>
      </c>
      <c r="M3" t="s">
        <v>215</v>
      </c>
      <c r="N3" t="s">
        <v>215</v>
      </c>
      <c r="O3" t="inlineStr">
        <is>
          <t>N/A</t>
        </is>
      </c>
      <c r="P3" s="8" t="s">
        <v>169</v>
      </c>
      <c r="Q3">
        <v>4</v>
      </c>
      <c r="R3" t="str">
        <f>_xlfn.XLOOKUP(Infill[[#This Row],[XY-N]],Rating[N],Rating[Name])</f>
        <v>Normal</v>
      </c>
      <c r="S3" t="str">
        <f>_xlfn.XLOOKUP(Infill[[#This Row],[XY-N]],Rating[N],Rating[level-to-better])</f>
        <v>![level-to-better-4](https://github.com/OrcaSlicer/OrcaSlicer_WIKI/blob/main/images/misc/level-to-better-4.svg?raw=true)</v>
      </c>
      <c r="T3">
        <v>4</v>
      </c>
      <c r="U3" t="str">
        <f>_xlfn.XLOOKUP(Infill[[#This Row],[Z-N]],Rating[N],Rating[Name])</f>
        <v>Normal</v>
      </c>
      <c r="V3" t="str">
        <f>_xlfn.XLOOKUP(Infill[[#This Row],[Z-N]],Rating[N],Rating[level-to-better])</f>
        <v>![level-to-better-4](https://github.com/OrcaSlicer/OrcaSlicer_WIKI/blob/main/images/misc/level-to-better-4.svg?raw=true)</v>
      </c>
      <c r="W3" s="11">
        <f ca="1">_xlfn.XLOOKUP(Infill[[#This Row],[infill]],Tabla7[infill],Tabla7[% 2 Sigma])</f>
        <v>2.6864815256315566E-3</v>
      </c>
      <c r="X3" t="str">
        <f ca="1">_xlfn.XLOOKUP(Infill[[#This Row],[% 2 Sigma]],AbsRating[Max %],AbsRating[Name],,1)</f>
        <v>None</v>
      </c>
      <c r="Y3" t="str">
        <f ca="1">_xlfn.XLOOKUP(Infill[[#This Row],[% 2 Sigma]],AbsRating[Max %],AbsRating[icon],,1)</f>
        <v>![level-to-worse-0](https://github.com/OrcaSlicer/OrcaSlicer_WIKI/blob/main/images/misc/level-to-worse-0.svg?raw=true)</v>
      </c>
      <c r="Z3" s="2" t="s">
        <v>72</v>
      </c>
      <c r="AA3">
        <f>_xlfn.XLOOKUP(Infill[[#This Row],[infill]],Tabla7[infill],Tabla7[g])</f>
        <v>150.21100000000001</v>
      </c>
      <c r="AB3" s="2">
        <f>Infill[[#This Row],[g]]/(997.25*0.15)</f>
        <v>1.0041681290214757</v>
      </c>
      <c r="AC3" s="2" t="str">
        <f>_xlfn.XLOOKUP(Infill[[#This Row],[% Effective]],Rating[Max %],Rating[Name],,1)</f>
        <v>Normal</v>
      </c>
      <c r="AD3" s="2" t="str">
        <f>_xlfn.XLOOKUP(Infill[[#This Row],[% Effective]],Rating[Max %],Rating[level-to-worse],,1)</f>
        <v>![level-to-worse-4](https://github.com/OrcaSlicer/OrcaSlicer_WIKI/blob/main/images/misc/level-to-worse-4.svg?raw=true)</v>
      </c>
      <c r="AE3">
        <f>_xlfn.XLOOKUP(Infill[[#This Row],[infill]],Tabla7[infill],Tabla7[Total Time])</f>
        <v>245.49700000000001</v>
      </c>
      <c r="AF3" s="2">
        <f>Infill[[#This Row],[Total Time]]/AVERAGEIFS(Infill[Total Time],Infill[Material Usage Icon],_xlfn.XLOOKUP("Normal",Rating[Name],Rating[level-to-worse]))</f>
        <v>0.80587200041778739</v>
      </c>
      <c r="AG3" s="2" t="str">
        <f>_xlfn.XLOOKUP(Infill[[#This Row],[t prom]],Rating[Max %],Rating[Name],,1)</f>
        <v>Normal-Low</v>
      </c>
      <c r="AH3" s="2" t="str">
        <f>_xlfn.XLOOKUP(Infill[[#This Row],[t prom]],Rating[Max %],Rating[level-to-worse],,1)</f>
        <v>![level-to-worse-3](https://github.com/OrcaSlicer/OrcaSlicer_WIKI/blob/main/images/misc/level-to-worse-3.svg?raw=true)</v>
      </c>
      <c r="AI3" s="3">
        <f>Infill[[#This Row],[g]]/Infill[[#This Row],[Total Time]]</f>
        <v>0.61186491077284044</v>
      </c>
      <c r="AJ3" s="2">
        <f>Infill[[#This Row],[g/t]]/AVERAGEIFS(Infill[g/t],Infill[Material Usage Icon],_xlfn.XLOOKUP("Normal",Rating[Name],Rating[level-to-worse]))</f>
        <v>1.123020472956076</v>
      </c>
      <c r="AK3" s="2" t="str">
        <f>_xlfn.XLOOKUP(Infill[[#This Row],[g/t prom]],Rating[Max %],Rating[Name],,1)</f>
        <v>Normal-High</v>
      </c>
      <c r="AL3" s="2" t="str">
        <f>_xlfn.XLOOKUP(Infill[[#This Row],[g/t prom]],Rating[Max %],Rating[level-to-better],,1)</f>
        <v>![level-to-better-5](https://github.com/OrcaSlicer/OrcaSlicer_WIKI/blob/main/images/misc/level-to-better-5.svg?raw=true)</v>
      </c>
      <c r="AM3" s="2" t="str">
        <f>SUBSTITUTE(LOWER(Infill[[#This Row],[name]])," ","-")</f>
        <v>monotonic-line</v>
      </c>
      <c r="AN3" t="str">
        <f>"param_"&amp;Infill[[#This Row],[infill]]</f>
        <v>param_monotonicline</v>
      </c>
      <c r="AO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P3" s="2" t="str">
        <f>"["&amp;Infill[[#This Row],[name]]&amp;"](#"&amp;Infill[[#This Row],[nameMD]]&amp;")"</f>
        <v>[Monotonic line](#monotonic-line)</v>
      </c>
      <c r="AQ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R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![infill-top-monotonic-line](https://github.com/OrcaSlicer/OrcaSlicer_WIKI/blob/main/images/fill/infill-top-monotonic-line.png?raw=true)
</v>
      </c>
      <c r="AS3" t="str">
        <f>IF(OR(Infill[[#This Row],[Is Infill]],Infill[[#This Row],[Is Surface]])," { """&amp;Infill[[#This Row],[infill]]&amp;""", "&amp;Infill[[#This Row],[ip]]&amp;" },","")</f>
        <v xml:space="preserve"> { "monotonicline", ipMonotonicLine },</v>
      </c>
      <c r="AT3" t="str">
        <f>IF(OR(Infill[[#This Row],[Is Infill]],Infill[[#This Row],[Is Surface]]),"def-&gt;enum_values.push_back("""&amp;Infill[[#This Row],[infill]]&amp;""");","")</f>
        <v>def-&gt;enum_values.push_back("monotonicline");</v>
      </c>
      <c r="AU3" t="str">
        <f>IF(OR(Infill[[#This Row],[Is Infill]],Infill[[#This Row],[Is Surface]]),"def-&gt;enum_labels.push_back(L("""&amp;Infill[[#This Row],[name]]&amp;"""));","")</f>
        <v>def-&gt;enum_labels.push_back(L("Monotonic line"));</v>
      </c>
      <c r="AW3" t="str">
        <f>Infill[[#This Row],[SVG Link]]</f>
        <v>&lt;img alt="param_monotonicline" src="https://github.com/OrcaSlicer/OrcaSlicer/blob/main/resources/images/param_monotonicline.svg?raw=true" height="45"&gt;</v>
      </c>
      <c r="AX3" s="1" t="str">
        <f>"["&amp;Infill[[#This Row],[name]]&amp;"](strength_settings_patterns#"&amp;Infill[[#This Row],[nameMD]]&amp;")"</f>
        <v>[Monotonic line](strength_settings_patterns#monotonic-line)</v>
      </c>
      <c r="AY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Z3" s="1" t="str">
        <f>Infill[[#This Row],[Material Usage Icon]]</f>
        <v>![level-to-worse-4](https://github.com/OrcaSlicer/OrcaSlicer_WIKI/blob/main/images/misc/level-to-worse-4.svg?raw=true)</v>
      </c>
      <c r="BA3" s="1" t="str">
        <f>Infill[[#This Row],[Print Time Icon]]</f>
        <v>![level-to-worse-3](https://github.com/OrcaSlicer/OrcaSlicer_WIKI/blob/main/images/misc/level-to-worse-3.svg?raw=true)</v>
      </c>
      <c r="BB3" t="str">
        <f ca="1">Infill[[#This Row],[Layer time Variability Icon]]</f>
        <v>![level-to-worse-0](https://github.com/OrcaSlicer/OrcaSlicer_WIKI/blob/main/images/misc/level-to-worse-0.svg?raw=true)</v>
      </c>
      <c r="BC3" s="1" t="str">
        <f>Infill[[#This Row],[Multiline]]</f>
        <v>N/A</v>
      </c>
    </row>
    <row r="4" spans="1:55" ht="315" x14ac:dyDescent="0.25">
      <c r="A4" t="s">
        <v>31</v>
      </c>
      <c r="B4" s="2">
        <v>0.15</v>
      </c>
      <c r="E4">
        <v>2</v>
      </c>
      <c r="F4" t="b">
        <v>1</v>
      </c>
      <c r="G4" t="b">
        <v>1</v>
      </c>
      <c r="H4" t="b">
        <v>1</v>
      </c>
      <c r="I4" t="s">
        <v>1</v>
      </c>
      <c r="J4" t="s">
        <v>1</v>
      </c>
      <c r="K4" t="s">
        <v>88</v>
      </c>
      <c r="L4" t="s">
        <v>158</v>
      </c>
      <c r="M4" t="s">
        <v>217</v>
      </c>
      <c r="N4" t="s">
        <v>216</v>
      </c>
      <c r="O4" t="inlineStr">
        <is>
          <t>No</t>
        </is>
      </c>
      <c r="P4" s="6" t="s">
        <v>81</v>
      </c>
      <c r="Q4">
        <v>3</v>
      </c>
      <c r="R4" t="str">
        <f>_xlfn.XLOOKUP(Infill[[#This Row],[XY-N]],Rating[N],Rating[Name])</f>
        <v>Normal-Low</v>
      </c>
      <c r="S4" t="str">
        <f>_xlfn.XLOOKUP(Infill[[#This Row],[XY-N]],Rating[N],Rating[level-to-better])</f>
        <v>![level-to-better-3](https://github.com/OrcaSlicer/OrcaSlicer_WIKI/blob/main/images/misc/level-to-better-3.svg?raw=true)</v>
      </c>
      <c r="T4">
        <v>2</v>
      </c>
      <c r="U4" t="str">
        <f>_xlfn.XLOOKUP(Infill[[#This Row],[Z-N]],Rating[N],Rating[Name])</f>
        <v>Low</v>
      </c>
      <c r="V4" t="str">
        <f>_xlfn.XLOOKUP(Infill[[#This Row],[Z-N]],Rating[N],Rating[level-to-better])</f>
        <v>![level-to-better-2](https://github.com/OrcaSlicer/OrcaSlicer_WIKI/blob/main/images/misc/level-to-better-2.svg?raw=true)</v>
      </c>
      <c r="W4" s="11">
        <f ca="1">_xlfn.XLOOKUP(Infill[[#This Row],[infill]],Tabla7[infill],Tabla7[% 2 Sigma])</f>
        <v>1.4326697941560385E-2</v>
      </c>
      <c r="X4" t="str">
        <f ca="1">_xlfn.XLOOKUP(Infill[[#This Row],[% 2 Sigma]],AbsRating[Max %],AbsRating[Name],,1)</f>
        <v>Unnoticeable</v>
      </c>
      <c r="Y4" t="str">
        <f ca="1">_xlfn.XLOOKUP(Infill[[#This Row],[% 2 Sigma]],AbsRating[Max %],AbsRating[icon],,1)</f>
        <v>![level-to-worse-2](https://github.com/OrcaSlicer/OrcaSlicer_WIKI/blob/main/images/misc/level-to-worse-2.svg?raw=true)</v>
      </c>
      <c r="Z4" s="2" t="s">
        <v>72</v>
      </c>
      <c r="AA4">
        <f>_xlfn.XLOOKUP(Infill[[#This Row],[infill]],Tabla7[infill],Tabla7[g])</f>
        <v>150.09299999999999</v>
      </c>
      <c r="AB4" s="2">
        <f>Infill[[#This Row],[g]]/(997.25*0.15)</f>
        <v>1.0033792930559036</v>
      </c>
      <c r="AC4" s="2" t="str">
        <f>_xlfn.XLOOKUP(Infill[[#This Row],[% Effective]],Rating[Max %],Rating[Name],,1)</f>
        <v>Normal</v>
      </c>
      <c r="AD4" s="2" t="str">
        <f>_xlfn.XLOOKUP(Infill[[#This Row],[% Effective]],Rating[Max %],Rating[level-to-worse],,1)</f>
        <v>![level-to-worse-4](https://github.com/OrcaSlicer/OrcaSlicer_WIKI/blob/main/images/misc/level-to-worse-4.svg?raw=true)</v>
      </c>
      <c r="AE4">
        <f>_xlfn.XLOOKUP(Infill[[#This Row],[infill]],Tabla7[infill],Tabla7[Total Time])</f>
        <v>245.78899999999999</v>
      </c>
      <c r="AF4" s="2">
        <f>Infill[[#This Row],[Total Time]]/AVERAGEIFS(Infill[Total Time],Infill[Material Usage Icon],_xlfn.XLOOKUP("Normal",Rating[Name],Rating[level-to-worse]))</f>
        <v>0.80683052383812237</v>
      </c>
      <c r="AG4" s="2" t="str">
        <f>_xlfn.XLOOKUP(Infill[[#This Row],[t prom]],Rating[Max %],Rating[Name],,1)</f>
        <v>Normal-Low</v>
      </c>
      <c r="AH4" s="2" t="str">
        <f>_xlfn.XLOOKUP(Infill[[#This Row],[t prom]],Rating[Max %],Rating[level-to-worse],,1)</f>
        <v>![level-to-worse-3](https://github.com/OrcaSlicer/OrcaSlicer_WIKI/blob/main/images/misc/level-to-worse-3.svg?raw=true)</v>
      </c>
      <c r="AI4" s="3">
        <f>Infill[[#This Row],[g]]/Infill[[#This Row],[Total Time]]</f>
        <v>0.61065792203882185</v>
      </c>
      <c r="AJ4" s="2">
        <f>Infill[[#This Row],[g/t]]/AVERAGEIFS(Infill[g/t],Infill[Material Usage Icon],_xlfn.XLOOKUP("Normal",Rating[Name],Rating[level-to-worse]))</f>
        <v>1.1208051587011398</v>
      </c>
      <c r="AK4" s="2" t="str">
        <f>_xlfn.XLOOKUP(Infill[[#This Row],[g/t prom]],Rating[Max %],Rating[Name],,1)</f>
        <v>Normal-High</v>
      </c>
      <c r="AL4" s="1" t="str">
        <f>_xlfn.XLOOKUP(Infill[[#This Row],[g/t prom]],Rating[Max %],Rating[level-to-better],,1)</f>
        <v>![level-to-better-5](https://github.com/OrcaSlicer/OrcaSlicer_WIKI/blob/main/images/misc/level-to-better-5.svg?raw=true)</v>
      </c>
      <c r="AM4" s="2" t="str">
        <f>SUBSTITUTE(LOWER(Infill[[#This Row],[name]])," ","-")</f>
        <v>rectilinear</v>
      </c>
      <c r="AN4" t="str">
        <f>"param_"&amp;Infill[[#This Row],[infill]]</f>
        <v>param_rectilinear</v>
      </c>
      <c r="AO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P4" s="2" t="str">
        <f>"["&amp;Infill[[#This Row],[name]]&amp;"](#"&amp;Infill[[#This Row],[nameMD]]&amp;")"</f>
        <v>[Rectilinear](#rectilinear)</v>
      </c>
      <c r="AQ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S4" t="str">
        <f>IF(OR(Infill[[#This Row],[Is Infill]],Infill[[#This Row],[Is Surface]])," { """&amp;Infill[[#This Row],[infill]]&amp;""", "&amp;Infill[[#This Row],[ip]]&amp;" },","")</f>
        <v xml:space="preserve"> { "rectilinear", ipRectilinear },</v>
      </c>
      <c r="AT4" t="str">
        <f>IF(OR(Infill[[#This Row],[Is Infill]],Infill[[#This Row],[Is Surface]]),"def-&gt;enum_values.push_back("""&amp;Infill[[#This Row],[infill]]&amp;""");","")</f>
        <v>def-&gt;enum_values.push_back("rectilinear");</v>
      </c>
      <c r="AU4" t="str">
        <f>IF(OR(Infill[[#This Row],[Is Infill]],Infill[[#This Row],[Is Surface]]),"def-&gt;enum_labels.push_back(L("""&amp;Infill[[#This Row],[name]]&amp;"""));","")</f>
        <v>def-&gt;enum_labels.push_back(L("Rectilinear"));</v>
      </c>
      <c r="AW4" t="str">
        <f>Infill[[#This Row],[SVG Link]]</f>
        <v>&lt;img alt="param_rectilinear" src="https://github.com/OrcaSlicer/OrcaSlicer/blob/main/resources/images/param_rectilinear.svg?raw=true" height="45"&gt;</v>
      </c>
      <c r="AX4" s="1" t="str">
        <f>"["&amp;Infill[[#This Row],[name]]&amp;"](strength_settings_patterns#"&amp;Infill[[#This Row],[nameMD]]&amp;")"</f>
        <v>[Rectilinear](strength_settings_patterns#rectilinear)</v>
      </c>
      <c r="AY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4" s="1" t="str">
        <f>Infill[[#This Row],[Material Usage Icon]]</f>
        <v>![level-to-worse-4](https://github.com/OrcaSlicer/OrcaSlicer_WIKI/blob/main/images/misc/level-to-worse-4.svg?raw=true)</v>
      </c>
      <c r="BA4" s="1" t="str">
        <f>Infill[[#This Row],[Print Time Icon]]</f>
        <v>![level-to-worse-3](https://github.com/OrcaSlicer/OrcaSlicer_WIKI/blob/main/images/misc/level-to-worse-3.svg?raw=true)</v>
      </c>
      <c r="BB4" t="str">
        <f ca="1">Infill[[#This Row],[Layer time Variability Icon]]</f>
        <v>![level-to-worse-2](https://github.com/OrcaSlicer/OrcaSlicer_WIKI/blob/main/images/misc/level-to-worse-2.svg?raw=true)</v>
      </c>
      <c r="BC4" s="1" t="str">
        <f>Infill[[#This Row],[Multiline]]</f>
        <v>[Classic](strength_settings_infill#classic-strategy)</v>
      </c>
    </row>
    <row r="5" spans="1:55" ht="345" x14ac:dyDescent="0.25">
      <c r="A5" t="s">
        <v>47</v>
      </c>
      <c r="B5" t="s">
        <v>48</v>
      </c>
      <c r="E5">
        <v>3</v>
      </c>
      <c r="F5" t="b">
        <v>1</v>
      </c>
      <c r="G5" t="b">
        <v>1</v>
      </c>
      <c r="H5" t="b">
        <v>0</v>
      </c>
      <c r="I5" t="s">
        <v>11</v>
      </c>
      <c r="J5" t="s">
        <v>1</v>
      </c>
      <c r="K5" t="s">
        <v>100</v>
      </c>
      <c r="L5" t="s">
        <v>127</v>
      </c>
      <c r="M5" t="s">
        <v>217</v>
      </c>
      <c r="N5" t="s">
        <v>216</v>
      </c>
      <c r="O5" t="inlineStr">
        <is>
          <t>No</t>
        </is>
      </c>
      <c r="P5" s="6" t="s">
        <v>59</v>
      </c>
      <c r="Q5">
        <v>3</v>
      </c>
      <c r="R5" t="str">
        <f>_xlfn.XLOOKUP(Infill[[#This Row],[XY-N]],Rating[N],Rating[Name])</f>
        <v>Normal-Low</v>
      </c>
      <c r="S5" t="str">
        <f>_xlfn.XLOOKUP(Infill[[#This Row],[XY-N]],Rating[N],Rating[level-to-better])</f>
        <v>![level-to-better-3](https://github.com/OrcaSlicer/OrcaSlicer_WIKI/blob/main/images/misc/level-to-better-3.svg?raw=true)</v>
      </c>
      <c r="T5">
        <v>4</v>
      </c>
      <c r="U5" t="str">
        <f>_xlfn.XLOOKUP(Infill[[#This Row],[Z-N]],Rating[N],Rating[Name])</f>
        <v>Normal</v>
      </c>
      <c r="V5" t="str">
        <f>_xlfn.XLOOKUP(Infill[[#This Row],[Z-N]],Rating[N],Rating[level-to-better])</f>
        <v>![level-to-better-4](https://github.com/OrcaSlicer/OrcaSlicer_WIKI/blob/main/images/misc/level-to-better-4.svg?raw=true)</v>
      </c>
      <c r="W5" s="11">
        <f ca="1">_xlfn.XLOOKUP(Infill[[#This Row],[infill]],Tabla7[infill],Tabla7[% 2 Sigma])</f>
        <v>1.0847178053471573E-2</v>
      </c>
      <c r="X5" t="str">
        <f ca="1">_xlfn.XLOOKUP(Infill[[#This Row],[% 2 Sigma]],AbsRating[Max %],AbsRating[Name],,1)</f>
        <v>Unnoticeable</v>
      </c>
      <c r="Y5" t="str">
        <f ca="1">_xlfn.XLOOKUP(Infill[[#This Row],[% 2 Sigma]],AbsRating[Max %],AbsRating[icon],,1)</f>
        <v>![level-to-worse-2](https://github.com/OrcaSlicer/OrcaSlicer_WIKI/blob/main/images/misc/level-to-worse-2.svg?raw=true)</v>
      </c>
      <c r="Z5" s="2" t="s">
        <v>72</v>
      </c>
      <c r="AA5">
        <f>_xlfn.XLOOKUP(Infill[[#This Row],[infill]],Tabla7[infill],Tabla7[g])</f>
        <v>150.09299999999999</v>
      </c>
      <c r="AB5" s="2">
        <f>Infill[[#This Row],[g]]/(997.25*0.15)</f>
        <v>1.0033792930559036</v>
      </c>
      <c r="AC5" s="2" t="str">
        <f>_xlfn.XLOOKUP(Infill[[#This Row],[% Effective]],Rating[Max %],Rating[Name],,1)</f>
        <v>Normal</v>
      </c>
      <c r="AD5" s="2" t="str">
        <f>_xlfn.XLOOKUP(Infill[[#This Row],[% Effective]],Rating[Max %],Rating[level-to-worse],,1)</f>
        <v>![level-to-worse-4](https://github.com/OrcaSlicer/OrcaSlicer_WIKI/blob/main/images/misc/level-to-worse-4.svg?raw=true)</v>
      </c>
      <c r="AE5">
        <f>_xlfn.XLOOKUP(Infill[[#This Row],[infill]],Tabla7[infill],Tabla7[Total Time])</f>
        <v>247.04499999999999</v>
      </c>
      <c r="AF5" s="2">
        <f>Infill[[#This Row],[Total Time]]/AVERAGEIFS(Infill[Total Time],Infill[Material Usage Icon],_xlfn.XLOOKUP("Normal",Rating[Name],Rating[level-to-worse]))</f>
        <v>0.81095348759134434</v>
      </c>
      <c r="AG5" s="2" t="str">
        <f>_xlfn.XLOOKUP(Infill[[#This Row],[t prom]],Rating[Max %],Rating[Name],,1)</f>
        <v>Normal-Low</v>
      </c>
      <c r="AH5" s="2" t="str">
        <f>_xlfn.XLOOKUP(Infill[[#This Row],[t prom]],Rating[Max %],Rating[level-to-worse],,1)</f>
        <v>![level-to-worse-3](https://github.com/OrcaSlicer/OrcaSlicer_WIKI/blob/main/images/misc/level-to-worse-3.svg?raw=true)</v>
      </c>
      <c r="AI5" s="3">
        <f>Infill[[#This Row],[g]]/Infill[[#This Row],[Total Time]]</f>
        <v>0.60755327976684403</v>
      </c>
      <c r="AJ5" s="2">
        <f>Infill[[#This Row],[g/t]]/AVERAGEIFS(Infill[g/t],Infill[Material Usage Icon],_xlfn.XLOOKUP("Normal",Rating[Name],Rating[level-to-worse]))</f>
        <v>1.1151068799287356</v>
      </c>
      <c r="AK5" s="2" t="str">
        <f>_xlfn.XLOOKUP(Infill[[#This Row],[g/t prom]],Rating[Max %],Rating[Name],,1)</f>
        <v>Normal-High</v>
      </c>
      <c r="AL5" s="1" t="str">
        <f>_xlfn.XLOOKUP(Infill[[#This Row],[g/t prom]],Rating[Max %],Rating[level-to-better],,1)</f>
        <v>![level-to-better-5](https://github.com/OrcaSlicer/OrcaSlicer_WIKI/blob/main/images/misc/level-to-better-5.svg?raw=true)</v>
      </c>
      <c r="AM5" s="2" t="str">
        <f>SUBSTITUTE(LOWER(Infill[[#This Row],[name]])," ","-")</f>
        <v>aligned-rectilinear</v>
      </c>
      <c r="AN5" t="str">
        <f>"param_"&amp;Infill[[#This Row],[infill]]</f>
        <v>param_alignedrectilinear</v>
      </c>
      <c r="AO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P5" s="2" t="str">
        <f>"["&amp;Infill[[#This Row],[name]]&amp;"](#"&amp;Infill[[#This Row],[nameMD]]&amp;")"</f>
        <v>[Aligned Rectilinear](#aligned-rectilinear)</v>
      </c>
      <c r="AQ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S5" t="str">
        <f>IF(OR(Infill[[#This Row],[Is Infill]],Infill[[#This Row],[Is Surface]])," { """&amp;Infill[[#This Row],[infill]]&amp;""", "&amp;Infill[[#This Row],[ip]]&amp;" },","")</f>
        <v xml:space="preserve"> { "alignedrectilinear", ipAlignedRectilinear },</v>
      </c>
      <c r="AT5" t="str">
        <f>IF(OR(Infill[[#This Row],[Is Infill]],Infill[[#This Row],[Is Surface]]),"def-&gt;enum_values.push_back("""&amp;Infill[[#This Row],[infill]]&amp;""");","")</f>
        <v>def-&gt;enum_values.push_back("alignedrectilinear");</v>
      </c>
      <c r="AU5" t="str">
        <f>IF(OR(Infill[[#This Row],[Is Infill]],Infill[[#This Row],[Is Surface]]),"def-&gt;enum_labels.push_back(L("""&amp;Infill[[#This Row],[name]]&amp;"""));","")</f>
        <v>def-&gt;enum_labels.push_back(L("Aligned Rectilinear"));</v>
      </c>
      <c r="AW5" t="str">
        <f>Infill[[#This Row],[SVG Link]]</f>
        <v>&lt;img alt="param_alignedrectilinear" src="https://github.com/OrcaSlicer/OrcaSlicer/blob/main/resources/images/param_alignedrectilinear.svg?raw=true" height="45"&gt;</v>
      </c>
      <c r="AX5" s="1" t="str">
        <f>"["&amp;Infill[[#This Row],[name]]&amp;"](strength_settings_patterns#"&amp;Infill[[#This Row],[nameMD]]&amp;")"</f>
        <v>[Aligned Rectilinear](strength_settings_patterns#aligned-rectilinear)</v>
      </c>
      <c r="AY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Z5" s="1" t="str">
        <f>Infill[[#This Row],[Material Usage Icon]]</f>
        <v>![level-to-worse-4](https://github.com/OrcaSlicer/OrcaSlicer_WIKI/blob/main/images/misc/level-to-worse-4.svg?raw=true)</v>
      </c>
      <c r="BA5" s="1" t="str">
        <f>Infill[[#This Row],[Print Time Icon]]</f>
        <v>![level-to-worse-3](https://github.com/OrcaSlicer/OrcaSlicer_WIKI/blob/main/images/misc/level-to-worse-3.svg?raw=true)</v>
      </c>
      <c r="BB5" t="str">
        <f ca="1">Infill[[#This Row],[Layer time Variability Icon]]</f>
        <v>![level-to-worse-2](https://github.com/OrcaSlicer/OrcaSlicer_WIKI/blob/main/images/misc/level-to-worse-2.svg?raw=true)</v>
      </c>
      <c r="BC5" s="1" t="str">
        <f>Infill[[#This Row],[Multiline]]</f>
        <v>[Classic](strength_settings_infill#classic-strategy)</v>
      </c>
    </row>
    <row r="6" spans="1:55" ht="300" x14ac:dyDescent="0.25">
      <c r="A6" t="s">
        <v>32</v>
      </c>
      <c r="B6" t="s">
        <v>34</v>
      </c>
      <c r="E6">
        <v>4</v>
      </c>
      <c r="F6" t="b">
        <v>1</v>
      </c>
      <c r="G6" t="b">
        <v>0</v>
      </c>
      <c r="H6" t="b">
        <v>0</v>
      </c>
      <c r="I6" t="s">
        <v>76</v>
      </c>
      <c r="J6" t="s">
        <v>1</v>
      </c>
      <c r="K6" t="s">
        <v>111</v>
      </c>
      <c r="L6" t="s">
        <v>136</v>
      </c>
      <c r="M6" t="s">
        <v>216</v>
      </c>
      <c r="N6" t="s">
        <v>243</v>
      </c>
      <c r="O6" t="inlineStr">
        <is>
          <t>No</t>
        </is>
      </c>
      <c r="P6" s="8" t="s">
        <v>241</v>
      </c>
      <c r="Q6">
        <v>3</v>
      </c>
      <c r="R6" t="str">
        <f>_xlfn.XLOOKUP(Infill[[#This Row],[XY-N]],Rating[N],Rating[Name])</f>
        <v>Normal-Low</v>
      </c>
      <c r="S6" t="str">
        <f>_xlfn.XLOOKUP(Infill[[#This Row],[XY-N]],Rating[N],Rating[level-to-better])</f>
        <v>![level-to-better-3](https://github.com/OrcaSlicer/OrcaSlicer_WIKI/blob/main/images/misc/level-to-better-3.svg?raw=true)</v>
      </c>
      <c r="T6">
        <v>2</v>
      </c>
      <c r="U6" t="str">
        <f>_xlfn.XLOOKUP(Infill[[#This Row],[Z-N]],Rating[N],Rating[Name])</f>
        <v>Low</v>
      </c>
      <c r="V6" t="str">
        <f>_xlfn.XLOOKUP(Infill[[#This Row],[Z-N]],Rating[N],Rating[level-to-better])</f>
        <v>![level-to-better-2](https://github.com/OrcaSlicer/OrcaSlicer_WIKI/blob/main/images/misc/level-to-better-2.svg?raw=true)</v>
      </c>
      <c r="W6" s="11">
        <f ca="1">_xlfn.XLOOKUP(Infill[[#This Row],[infill]],Tabla7[infill],Tabla7[% 2 Sigma])</f>
        <v>1.5069904867348161E-2</v>
      </c>
      <c r="X6" t="str">
        <f ca="1">_xlfn.XLOOKUP(Infill[[#This Row],[% 2 Sigma]],AbsRating[Max %],AbsRating[Name],,1)</f>
        <v>Unnoticeable</v>
      </c>
      <c r="Y6" t="str">
        <f ca="1">_xlfn.XLOOKUP(Infill[[#This Row],[% 2 Sigma]],AbsRating[Max %],AbsRating[icon],,1)</f>
        <v>![level-to-worse-2](https://github.com/OrcaSlicer/OrcaSlicer_WIKI/blob/main/images/misc/level-to-worse-2.svg?raw=true)</v>
      </c>
      <c r="Z6" s="2" t="s">
        <v>72</v>
      </c>
      <c r="AA6">
        <f>_xlfn.XLOOKUP(Infill[[#This Row],[infill]],Tabla7[infill],Tabla7[g])</f>
        <v>150.09299999999999</v>
      </c>
      <c r="AB6" s="2">
        <f>Infill[[#This Row],[g]]/(997.25*0.15)</f>
        <v>1.0033792930559036</v>
      </c>
      <c r="AC6" s="2" t="str">
        <f>_xlfn.XLOOKUP(Infill[[#This Row],[% Effective]],Rating[Max %],Rating[Name],,1)</f>
        <v>Normal</v>
      </c>
      <c r="AD6" s="2" t="str">
        <f>_xlfn.XLOOKUP(Infill[[#This Row],[% Effective]],Rating[Max %],Rating[level-to-worse],,1)</f>
        <v>![level-to-worse-4](https://github.com/OrcaSlicer/OrcaSlicer_WIKI/blob/main/images/misc/level-to-worse-4.svg?raw=true)</v>
      </c>
      <c r="AE6">
        <f>_xlfn.XLOOKUP(Infill[[#This Row],[infill]],Tabla7[infill],Tabla7[Total Time])</f>
        <v>245.685</v>
      </c>
      <c r="AF6" s="2">
        <f>Infill[[#This Row],[Total Time]]/AVERAGEIFS(Infill[Total Time],Infill[Material Usage Icon],_xlfn.XLOOKUP("Normal",Rating[Name],Rating[level-to-worse]))</f>
        <v>0.80648913193498939</v>
      </c>
      <c r="AG6" s="2" t="str">
        <f>_xlfn.XLOOKUP(Infill[[#This Row],[t prom]],Rating[Max %],Rating[Name],,1)</f>
        <v>Normal-Low</v>
      </c>
      <c r="AH6" s="2" t="str">
        <f>_xlfn.XLOOKUP(Infill[[#This Row],[t prom]],Rating[Max %],Rating[level-to-worse],,1)</f>
        <v>![level-to-worse-3](https://github.com/OrcaSlicer/OrcaSlicer_WIKI/blob/main/images/misc/level-to-worse-3.svg?raw=true)</v>
      </c>
      <c r="AI6" s="3">
        <f>Infill[[#This Row],[g]]/Infill[[#This Row],[Total Time]]</f>
        <v>0.61091641736369739</v>
      </c>
      <c r="AJ6" s="2">
        <f>Infill[[#This Row],[g/t]]/AVERAGEIFS(Infill[g/t],Infill[Material Usage Icon],_xlfn.XLOOKUP("Normal",Rating[Name],Rating[level-to-worse]))</f>
        <v>1.1212796025479557</v>
      </c>
      <c r="AK6" s="2" t="str">
        <f>_xlfn.XLOOKUP(Infill[[#This Row],[g/t prom]],Rating[Max %],Rating[Name],,1)</f>
        <v>Normal-High</v>
      </c>
      <c r="AL6" s="1" t="str">
        <f>_xlfn.XLOOKUP(Infill[[#This Row],[g/t prom]],Rating[Max %],Rating[level-to-better],,1)</f>
        <v>![level-to-better-5](https://github.com/OrcaSlicer/OrcaSlicer_WIKI/blob/main/images/misc/level-to-better-5.svg?raw=true)</v>
      </c>
      <c r="AM6" s="2" t="str">
        <f>SUBSTITUTE(LOWER(Infill[[#This Row],[name]])," ","-")</f>
        <v>zig-zag</v>
      </c>
      <c r="AN6" t="str">
        <f>"param_"&amp;Infill[[#This Row],[infill]]</f>
        <v>param_zigzag</v>
      </c>
      <c r="AO6" t="str">
        <f>"&lt;img alt=""" &amp; Infill[[#This Row],[SVG]] &amp; """ src=""https://github.com/OrcaSlicer/OrcaSlicer/blob/main/resources/images/" &amp; Infill[[#This Row],[SVG]] &amp; ".svg?raw=true"" height=""45""&gt;"</f>
        <v>&lt;img alt="param_zigzag" src="https://github.com/OrcaSlicer/OrcaSlicer/blob/main/resources/images/param_zigzag.svg?raw=true" height="45"&gt;</v>
      </c>
      <c r="AP6" s="2" t="str">
        <f>"["&amp;Infill[[#This Row],[name]]&amp;"](#"&amp;Infill[[#This Row],[nameMD]]&amp;")"</f>
        <v>[Zig Zag](#zig-zag)</v>
      </c>
      <c r="AQ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![infill-top-zig-zag](https://github.com/OrcaSlicer/OrcaSlicer_WIKI/blob/main/images/fill/infill-top-zig-zag.png?raw=true)
</v>
      </c>
      <c r="AS6" t="str">
        <f>IF(OR(Infill[[#This Row],[Is Infill]],Infill[[#This Row],[Is Surface]])," { """&amp;Infill[[#This Row],[infill]]&amp;""", "&amp;Infill[[#This Row],[ip]]&amp;" },","")</f>
        <v xml:space="preserve"> { "zigzag", ipZigZag },</v>
      </c>
      <c r="AT6" t="str">
        <f>IF(OR(Infill[[#This Row],[Is Infill]],Infill[[#This Row],[Is Surface]]),"def-&gt;enum_values.push_back("""&amp;Infill[[#This Row],[infill]]&amp;""");","")</f>
        <v>def-&gt;enum_values.push_back("zigzag");</v>
      </c>
      <c r="AU6" t="str">
        <f>IF(OR(Infill[[#This Row],[Is Infill]],Infill[[#This Row],[Is Surface]]),"def-&gt;enum_labels.push_back(L("""&amp;Infill[[#This Row],[name]]&amp;"""));","")</f>
        <v>def-&gt;enum_labels.push_back(L("Zig Zag"));</v>
      </c>
      <c r="AW6" t="str">
        <f>Infill[[#This Row],[SVG Link]]</f>
        <v>&lt;img alt="param_zigzag" src="https://github.com/OrcaSlicer/OrcaSlicer/blob/main/resources/images/param_zigzag.svg?raw=true" height="45"&gt;</v>
      </c>
      <c r="AX6" s="1" t="str">
        <f>"["&amp;Infill[[#This Row],[name]]&amp;"](strength_settings_patterns#"&amp;Infill[[#This Row],[nameMD]]&amp;")"</f>
        <v>[Zig Zag](strength_settings_patterns#zig-zag)</v>
      </c>
      <c r="AY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6" s="1" t="str">
        <f>Infill[[#This Row],[Material Usage Icon]]</f>
        <v>![level-to-worse-4](https://github.com/OrcaSlicer/OrcaSlicer_WIKI/blob/main/images/misc/level-to-worse-4.svg?raw=true)</v>
      </c>
      <c r="BA6" s="1" t="str">
        <f>Infill[[#This Row],[Print Time Icon]]</f>
        <v>![level-to-worse-3](https://github.com/OrcaSlicer/OrcaSlicer_WIKI/blob/main/images/misc/level-to-worse-3.svg?raw=true)</v>
      </c>
      <c r="BB6" t="str">
        <f ca="1">Infill[[#This Row],[Layer time Variability Icon]]</f>
        <v>![level-to-worse-2](https://github.com/OrcaSlicer/OrcaSlicer_WIKI/blob/main/images/misc/level-to-worse-2.svg?raw=true)</v>
      </c>
      <c r="BC6" s="1" t="str">
        <f>Infill[[#This Row],[Multiline]]</f>
        <v>No</v>
      </c>
    </row>
    <row r="7" spans="1:55" ht="300" x14ac:dyDescent="0.25">
      <c r="A7" t="s">
        <v>49</v>
      </c>
      <c r="B7" t="s">
        <v>34</v>
      </c>
      <c r="E7">
        <v>5</v>
      </c>
      <c r="F7" t="b">
        <v>1</v>
      </c>
      <c r="G7" t="b">
        <v>0</v>
      </c>
      <c r="H7" t="b">
        <v>0</v>
      </c>
      <c r="I7" t="s">
        <v>80</v>
      </c>
      <c r="J7" t="s">
        <v>1</v>
      </c>
      <c r="K7" t="s">
        <v>112</v>
      </c>
      <c r="L7" t="s">
        <v>137</v>
      </c>
      <c r="M7" t="s">
        <v>216</v>
      </c>
      <c r="N7" t="s">
        <v>243</v>
      </c>
      <c r="O7" t="inlineStr">
        <is>
          <t>No</t>
        </is>
      </c>
      <c r="P7" s="8" t="s">
        <v>85</v>
      </c>
      <c r="Q7">
        <v>4</v>
      </c>
      <c r="R7" t="str">
        <f>_xlfn.XLOOKUP(Infill[[#This Row],[XY-N]],Rating[N],Rating[Name])</f>
        <v>Normal</v>
      </c>
      <c r="S7" t="str">
        <f>_xlfn.XLOOKUP(Infill[[#This Row],[XY-N]],Rating[N],Rating[level-to-better])</f>
        <v>![level-to-better-4](https://github.com/OrcaSlicer/OrcaSlicer_WIKI/blob/main/images/misc/level-to-better-4.svg?raw=true)</v>
      </c>
      <c r="T7">
        <v>2</v>
      </c>
      <c r="U7" t="str">
        <f>_xlfn.XLOOKUP(Infill[[#This Row],[Z-N]],Rating[N],Rating[Name])</f>
        <v>Low</v>
      </c>
      <c r="V7" t="str">
        <f>_xlfn.XLOOKUP(Infill[[#This Row],[Z-N]],Rating[N],Rating[level-to-better])</f>
        <v>![level-to-better-2](https://github.com/OrcaSlicer/OrcaSlicer_WIKI/blob/main/images/misc/level-to-better-2.svg?raw=true)</v>
      </c>
      <c r="W7" s="11">
        <f ca="1">_xlfn.XLOOKUP(Infill[[#This Row],[infill]],Tabla7[infill],Tabla7[% 2 Sigma])</f>
        <v>1.2858296519586032E-2</v>
      </c>
      <c r="X7" t="str">
        <f ca="1">_xlfn.XLOOKUP(Infill[[#This Row],[% 2 Sigma]],AbsRating[Max %],AbsRating[Name],,1)</f>
        <v>Unnoticeable</v>
      </c>
      <c r="Y7" t="str">
        <f ca="1">_xlfn.XLOOKUP(Infill[[#This Row],[% 2 Sigma]],AbsRating[Max %],AbsRating[icon],,1)</f>
        <v>![level-to-worse-2](https://github.com/OrcaSlicer/OrcaSlicer_WIKI/blob/main/images/misc/level-to-worse-2.svg?raw=true)</v>
      </c>
      <c r="Z7" s="2" t="s">
        <v>72</v>
      </c>
      <c r="AA7">
        <f>_xlfn.XLOOKUP(Infill[[#This Row],[infill]],Tabla7[infill],Tabla7[g])</f>
        <v>150.10300000000001</v>
      </c>
      <c r="AB7" s="2">
        <f>Infill[[#This Row],[g]]/(997.25*0.15)</f>
        <v>1.0034461435614608</v>
      </c>
      <c r="AC7" s="2" t="str">
        <f>_xlfn.XLOOKUP(Infill[[#This Row],[% Effective]],Rating[Max %],Rating[Name],,1)</f>
        <v>Normal</v>
      </c>
      <c r="AD7" s="2" t="str">
        <f>_xlfn.XLOOKUP(Infill[[#This Row],[% Effective]],Rating[Max %],Rating[level-to-worse],,1)</f>
        <v>![level-to-worse-4](https://github.com/OrcaSlicer/OrcaSlicer_WIKI/blob/main/images/misc/level-to-worse-4.svg?raw=true)</v>
      </c>
      <c r="AE7">
        <f>_xlfn.XLOOKUP(Infill[[#This Row],[infill]],Tabla7[infill],Tabla7[Total Time])</f>
        <v>246.67699999999999</v>
      </c>
      <c r="AF7" s="2">
        <f>Infill[[#This Row],[Total Time]]/AVERAGEIFS(Infill[Total Time],Infill[Material Usage Icon],_xlfn.XLOOKUP("Normal",Rating[Name],Rating[level-to-worse]))</f>
        <v>0.80974548547256597</v>
      </c>
      <c r="AG7" s="2" t="str">
        <f>_xlfn.XLOOKUP(Infill[[#This Row],[t prom]],Rating[Max %],Rating[Name],,1)</f>
        <v>Normal-Low</v>
      </c>
      <c r="AH7" s="2" t="str">
        <f>_xlfn.XLOOKUP(Infill[[#This Row],[t prom]],Rating[Max %],Rating[level-to-worse],,1)</f>
        <v>![level-to-worse-3](https://github.com/OrcaSlicer/OrcaSlicer_WIKI/blob/main/images/misc/level-to-worse-3.svg?raw=true)</v>
      </c>
      <c r="AI7" s="3">
        <f>Infill[[#This Row],[g]]/Infill[[#This Row],[Total Time]]</f>
        <v>0.60850018445173248</v>
      </c>
      <c r="AJ7" s="2">
        <f>Infill[[#This Row],[g/t]]/AVERAGEIFS(Infill[g/t],Infill[Material Usage Icon],_xlfn.XLOOKUP("Normal",Rating[Name],Rating[level-to-worse]))</f>
        <v>1.1168448343829707</v>
      </c>
      <c r="AK7" s="2" t="str">
        <f>_xlfn.XLOOKUP(Infill[[#This Row],[g/t prom]],Rating[Max %],Rating[Name],,1)</f>
        <v>Normal-High</v>
      </c>
      <c r="AL7" s="1" t="str">
        <f>_xlfn.XLOOKUP(Infill[[#This Row],[g/t prom]],Rating[Max %],Rating[level-to-better],,1)</f>
        <v>![level-to-better-5](https://github.com/OrcaSlicer/OrcaSlicer_WIKI/blob/main/images/misc/level-to-better-5.svg?raw=true)</v>
      </c>
      <c r="AM7" s="2" t="str">
        <f>SUBSTITUTE(LOWER(Infill[[#This Row],[name]])," ","-")</f>
        <v>cross-zag</v>
      </c>
      <c r="AN7" t="str">
        <f>"param_"&amp;Infill[[#This Row],[infill]]</f>
        <v>param_crosszag</v>
      </c>
      <c r="AO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P7" s="2" t="str">
        <f>"["&amp;Infill[[#This Row],[name]]&amp;"](#"&amp;Infill[[#This Row],[nameMD]]&amp;")"</f>
        <v>[Cross Zag](#cross-zag)</v>
      </c>
      <c r="AQ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![infill-top-cross-zag](https://github.com/OrcaSlicer/OrcaSlicer_WIKI/blob/main/images/fill/infill-top-cross-zag.png?raw=true)
</v>
      </c>
      <c r="AS7" t="str">
        <f>IF(OR(Infill[[#This Row],[Is Infill]],Infill[[#This Row],[Is Surface]])," { """&amp;Infill[[#This Row],[infill]]&amp;""", "&amp;Infill[[#This Row],[ip]]&amp;" },","")</f>
        <v xml:space="preserve"> { "crosszag", ipCrossZag },</v>
      </c>
      <c r="AT7" t="str">
        <f>IF(OR(Infill[[#This Row],[Is Infill]],Infill[[#This Row],[Is Surface]]),"def-&gt;enum_values.push_back("""&amp;Infill[[#This Row],[infill]]&amp;""");","")</f>
        <v>def-&gt;enum_values.push_back("crosszag");</v>
      </c>
      <c r="AU7" t="str">
        <f>IF(OR(Infill[[#This Row],[Is Infill]],Infill[[#This Row],[Is Surface]]),"def-&gt;enum_labels.push_back(L("""&amp;Infill[[#This Row],[name]]&amp;"""));","")</f>
        <v>def-&gt;enum_labels.push_back(L("Cross Zag"));</v>
      </c>
      <c r="AW7" t="str">
        <f>Infill[[#This Row],[SVG Link]]</f>
        <v>&lt;img alt="param_crosszag" src="https://github.com/OrcaSlicer/OrcaSlicer/blob/main/resources/images/param_crosszag.svg?raw=true" height="45"&gt;</v>
      </c>
      <c r="AX7" s="1" t="str">
        <f>"["&amp;Infill[[#This Row],[name]]&amp;"](strength_settings_patterns#"&amp;Infill[[#This Row],[nameMD]]&amp;")"</f>
        <v>[Cross Zag](strength_settings_patterns#cross-zag)</v>
      </c>
      <c r="AY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Z7" s="1" t="str">
        <f>Infill[[#This Row],[Material Usage Icon]]</f>
        <v>![level-to-worse-4](https://github.com/OrcaSlicer/OrcaSlicer_WIKI/blob/main/images/misc/level-to-worse-4.svg?raw=true)</v>
      </c>
      <c r="BA7" s="1" t="str">
        <f>Infill[[#This Row],[Print Time Icon]]</f>
        <v>![level-to-worse-3](https://github.com/OrcaSlicer/OrcaSlicer_WIKI/blob/main/images/misc/level-to-worse-3.svg?raw=true)</v>
      </c>
      <c r="BB7" t="str">
        <f ca="1">Infill[[#This Row],[Layer time Variability Icon]]</f>
        <v>![level-to-worse-2](https://github.com/OrcaSlicer/OrcaSlicer_WIKI/blob/main/images/misc/level-to-worse-2.svg?raw=true)</v>
      </c>
      <c r="BC7" s="1" t="str">
        <f>Infill[[#This Row],[Multiline]]</f>
        <v>No</v>
      </c>
    </row>
    <row r="8" spans="1:55" ht="330" x14ac:dyDescent="0.25">
      <c r="A8" t="s">
        <v>189</v>
      </c>
      <c r="B8" s="4">
        <v>1</v>
      </c>
      <c r="E8">
        <v>6</v>
      </c>
      <c r="F8" t="b">
        <v>1</v>
      </c>
      <c r="G8" t="b">
        <v>0</v>
      </c>
      <c r="H8" t="b">
        <v>0</v>
      </c>
      <c r="I8" t="s">
        <v>77</v>
      </c>
      <c r="J8" t="s">
        <v>1</v>
      </c>
      <c r="K8" t="s">
        <v>113</v>
      </c>
      <c r="L8" t="s">
        <v>138</v>
      </c>
      <c r="M8" t="s">
        <v>216</v>
      </c>
      <c r="N8" t="s">
        <v>243</v>
      </c>
      <c r="O8" t="inlineStr">
        <is>
          <t>No</t>
        </is>
      </c>
      <c r="P8" s="8" t="s">
        <v>212</v>
      </c>
      <c r="Q8">
        <v>3</v>
      </c>
      <c r="R8" t="str">
        <f>_xlfn.XLOOKUP(Infill[[#This Row],[XY-N]],Rating[N],Rating[Name])</f>
        <v>Normal-Low</v>
      </c>
      <c r="S8" t="str">
        <f>_xlfn.XLOOKUP(Infill[[#This Row],[XY-N]],Rating[N],Rating[level-to-better])</f>
        <v>![level-to-better-3](https://github.com/OrcaSlicer/OrcaSlicer_WIKI/blob/main/images/misc/level-to-better-3.svg?raw=true)</v>
      </c>
      <c r="T8">
        <v>3</v>
      </c>
      <c r="U8" t="str">
        <f>_xlfn.XLOOKUP(Infill[[#This Row],[Z-N]],Rating[N],Rating[Name])</f>
        <v>Normal-Low</v>
      </c>
      <c r="V8" t="str">
        <f>_xlfn.XLOOKUP(Infill[[#This Row],[Z-N]],Rating[N],Rating[level-to-better])</f>
        <v>![level-to-better-3](https://github.com/OrcaSlicer/OrcaSlicer_WIKI/blob/main/images/misc/level-to-better-3.svg?raw=true)</v>
      </c>
      <c r="W8" s="11">
        <f ca="1">_xlfn.XLOOKUP(Infill[[#This Row],[infill]],Tabla7[infill],Tabla7[% 2 Sigma])</f>
        <v>9.0164137803094846E-3</v>
      </c>
      <c r="X8" t="str">
        <f ca="1">_xlfn.XLOOKUP(Infill[[#This Row],[% 2 Sigma]],AbsRating[Max %],AbsRating[Name],,1)</f>
        <v>None</v>
      </c>
      <c r="Y8" t="str">
        <f ca="1">_xlfn.XLOOKUP(Infill[[#This Row],[% 2 Sigma]],AbsRating[Max %],AbsRating[icon],,1)</f>
        <v>![level-to-worse-0](https://github.com/OrcaSlicer/OrcaSlicer_WIKI/blob/main/images/misc/level-to-worse-0.svg?raw=true)</v>
      </c>
      <c r="Z8" s="8" t="s">
        <v>213</v>
      </c>
      <c r="AA8">
        <f>_xlfn.XLOOKUP(Infill[[#This Row],[infill]],Tabla7[infill],Tabla7[g])</f>
        <v>180.82</v>
      </c>
      <c r="AB8" s="2">
        <f>Infill[[#This Row],[g]]/(997.25*0.15)</f>
        <v>1.2087908414807387</v>
      </c>
      <c r="AC8" s="2" t="str">
        <f>_xlfn.XLOOKUP(Infill[[#This Row],[% Effective]],Rating[Max %],Rating[Name],,1)</f>
        <v>Normal-High</v>
      </c>
      <c r="AD8" s="2" t="str">
        <f>_xlfn.XLOOKUP(Infill[[#This Row],[% Effective]],Rating[Max %],Rating[level-to-worse],,1)</f>
        <v>![level-to-worse-5](https://github.com/OrcaSlicer/OrcaSlicer_WIKI/blob/main/images/misc/level-to-worse-5.svg?raw=true)</v>
      </c>
      <c r="AE8">
        <f>_xlfn.XLOOKUP(Infill[[#This Row],[infill]],Tabla7[infill],Tabla7[Total Time])</f>
        <v>344.53199999999998</v>
      </c>
      <c r="AF8" s="2">
        <f>Infill[[#This Row],[Total Time]]/AVERAGEIFS(Infill[Total Time],Infill[Material Usage Icon],_xlfn.XLOOKUP("Normal",Rating[Name],Rating[level-to-worse]))</f>
        <v>1.13096572279067</v>
      </c>
      <c r="AG8" s="2" t="str">
        <f>_xlfn.XLOOKUP(Infill[[#This Row],[t prom]],Rating[Max %],Rating[Name],,1)</f>
        <v>Normal-High</v>
      </c>
      <c r="AH8" s="2" t="str">
        <f>_xlfn.XLOOKUP(Infill[[#This Row],[t prom]],Rating[Max %],Rating[level-to-worse],,1)</f>
        <v>![level-to-worse-5](https://github.com/OrcaSlicer/OrcaSlicer_WIKI/blob/main/images/misc/level-to-worse-5.svg?raw=true)</v>
      </c>
      <c r="AI8" s="3">
        <f>Infill[[#This Row],[g]]/Infill[[#This Row],[Total Time]]</f>
        <v>0.52482788246084544</v>
      </c>
      <c r="AJ8" s="2">
        <f>Infill[[#This Row],[g/t]]/AVERAGEIFS(Infill[g/t],Infill[Material Usage Icon],_xlfn.XLOOKUP("Normal",Rating[Name],Rating[level-to-worse]))</f>
        <v>0.96327219686002052</v>
      </c>
      <c r="AK8" s="2" t="str">
        <f>_xlfn.XLOOKUP(Infill[[#This Row],[g/t prom]],Rating[Max %],Rating[Name],,1)</f>
        <v>Normal</v>
      </c>
      <c r="AL8" s="1" t="str">
        <f>_xlfn.XLOOKUP(Infill[[#This Row],[g/t prom]],Rating[Max %],Rating[level-to-better],,1)</f>
        <v>![level-to-better-4](https://github.com/OrcaSlicer/OrcaSlicer_WIKI/blob/main/images/misc/level-to-better-4.svg?raw=true)</v>
      </c>
      <c r="AM8" s="2" t="str">
        <f>SUBSTITUTE(LOWER(Infill[[#This Row],[name]])," ","-")</f>
        <v>locked-zag</v>
      </c>
      <c r="AN8" t="str">
        <f>"param_"&amp;Infill[[#This Row],[infill]]</f>
        <v>param_lockedzag</v>
      </c>
      <c r="AO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P8" s="2" t="str">
        <f>"["&amp;Infill[[#This Row],[name]]&amp;"](#"&amp;Infill[[#This Row],[nameMD]]&amp;")"</f>
        <v>[Locked Zag](#locked-zag)</v>
      </c>
      <c r="AQ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**Applies to:**
    - **[Sparse Infill](strength_settings_infill#sparse-infill-density)**
![infill-top-locked-zag](https://github.com/OrcaSlicer/OrcaSlicer_WIKI/blob/main/images/fill/infill-top-locked-zag.png?raw=true)
</v>
      </c>
      <c r="AS8" t="str">
        <f>IF(OR(Infill[[#This Row],[Is Infill]],Infill[[#This Row],[Is Surface]])," { """&amp;Infill[[#This Row],[infill]]&amp;""", "&amp;Infill[[#This Row],[ip]]&amp;" },","")</f>
        <v xml:space="preserve"> { "lockedzag", ipLockedZag },</v>
      </c>
      <c r="AT8" t="str">
        <f>IF(OR(Infill[[#This Row],[Is Infill]],Infill[[#This Row],[Is Surface]]),"def-&gt;enum_values.push_back("""&amp;Infill[[#This Row],[infill]]&amp;""");","")</f>
        <v>def-&gt;enum_values.push_back("lockedzag");</v>
      </c>
      <c r="AU8" t="str">
        <f>IF(OR(Infill[[#This Row],[Is Infill]],Infill[[#This Row],[Is Surface]]),"def-&gt;enum_labels.push_back(L("""&amp;Infill[[#This Row],[name]]&amp;"""));","")</f>
        <v>def-&gt;enum_labels.push_back(L("Locked Zag"));</v>
      </c>
      <c r="AW8" t="str">
        <f>Infill[[#This Row],[SVG Link]]</f>
        <v>&lt;img alt="param_lockedzag" src="https://github.com/OrcaSlicer/OrcaSlicer/blob/main/resources/images/param_lockedzag.svg?raw=true" height="45"&gt;</v>
      </c>
      <c r="AX8" s="1" t="str">
        <f>"["&amp;Infill[[#This Row],[name]]&amp;"](strength_settings_patterns#"&amp;Infill[[#This Row],[nameMD]]&amp;")"</f>
        <v>[Locked Zag](strength_settings_patterns#locked-zag)</v>
      </c>
      <c r="AY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8" s="1" t="str">
        <f>Infill[[#This Row],[Material Usage Icon]]</f>
        <v>![level-to-worse-5](https://github.com/OrcaSlicer/OrcaSlicer_WIKI/blob/main/images/misc/level-to-worse-5.svg?raw=true)</v>
      </c>
      <c r="BA8" s="1" t="str">
        <f>Infill[[#This Row],[Print Time Icon]]</f>
        <v>![level-to-worse-5](https://github.com/OrcaSlicer/OrcaSlicer_WIKI/blob/main/images/misc/level-to-worse-5.svg?raw=true)</v>
      </c>
      <c r="BB8" t="str">
        <f ca="1">Infill[[#This Row],[Layer time Variability Icon]]</f>
        <v>![level-to-worse-0](https://github.com/OrcaSlicer/OrcaSlicer_WIKI/blob/main/images/misc/level-to-worse-0.svg?raw=true)</v>
      </c>
      <c r="BC8" s="1" t="str">
        <f>Infill[[#This Row],[Multiline]]</f>
        <v>No</v>
      </c>
    </row>
    <row r="9" spans="1:55" ht="300" x14ac:dyDescent="0.25">
      <c r="A9" t="s">
        <v>46</v>
      </c>
      <c r="B9">
        <v>1</v>
      </c>
      <c r="E9">
        <v>7</v>
      </c>
      <c r="F9" t="b">
        <v>1</v>
      </c>
      <c r="G9" t="b">
        <v>0</v>
      </c>
      <c r="H9" t="b">
        <v>0</v>
      </c>
      <c r="I9" t="s">
        <v>3</v>
      </c>
      <c r="J9" t="s">
        <v>1</v>
      </c>
      <c r="K9" t="s">
        <v>90</v>
      </c>
      <c r="L9" t="s">
        <v>119</v>
      </c>
      <c r="M9" t="s">
        <v>216</v>
      </c>
      <c r="N9" t="s">
        <v>216</v>
      </c>
      <c r="O9" t="inlineStr">
        <is>
          <t>No</t>
        </is>
      </c>
      <c r="P9" s="6" t="s">
        <v>53</v>
      </c>
      <c r="Q9">
        <v>2</v>
      </c>
      <c r="R9" t="str">
        <f>_xlfn.XLOOKUP(Infill[[#This Row],[XY-N]],Rating[N],Rating[Name])</f>
        <v>Low</v>
      </c>
      <c r="S9" t="str">
        <f>_xlfn.XLOOKUP(Infill[[#This Row],[XY-N]],Rating[N],Rating[level-to-better])</f>
        <v>![level-to-better-2](https://github.com/OrcaSlicer/OrcaSlicer_WIKI/blob/main/images/misc/level-to-better-2.svg?raw=true)</v>
      </c>
      <c r="T9">
        <v>2</v>
      </c>
      <c r="U9" t="str">
        <f>_xlfn.XLOOKUP(Infill[[#This Row],[Z-N]],Rating[N],Rating[Name])</f>
        <v>Low</v>
      </c>
      <c r="V9" t="str">
        <f>_xlfn.XLOOKUP(Infill[[#This Row],[Z-N]],Rating[N],Rating[level-to-better])</f>
        <v>![level-to-better-2](https://github.com/OrcaSlicer/OrcaSlicer_WIKI/blob/main/images/misc/level-to-better-2.svg?raw=true)</v>
      </c>
      <c r="W9" s="11">
        <f ca="1">_xlfn.XLOOKUP(Infill[[#This Row],[infill]],Tabla7[infill],Tabla7[% 2 Sigma])</f>
        <v>8.6980852035178913E-5</v>
      </c>
      <c r="X9" t="str">
        <f ca="1">_xlfn.XLOOKUP(Infill[[#This Row],[% 2 Sigma]],AbsRating[Max %],AbsRating[Name],,1)</f>
        <v>None</v>
      </c>
      <c r="Y9" t="str">
        <f ca="1">_xlfn.XLOOKUP(Infill[[#This Row],[% 2 Sigma]],AbsRating[Max %],AbsRating[icon],,1)</f>
        <v>![level-to-worse-0](https://github.com/OrcaSlicer/OrcaSlicer_WIKI/blob/main/images/misc/level-to-worse-0.svg?raw=true)</v>
      </c>
      <c r="Z9" s="2" t="s">
        <v>72</v>
      </c>
      <c r="AA9">
        <f>_xlfn.XLOOKUP(Infill[[#This Row],[infill]],Tabla7[infill],Tabla7[g])</f>
        <v>154.13200000000001</v>
      </c>
      <c r="AB9" s="2">
        <f>Infill[[#This Row],[g]]/(997.25*0.15)</f>
        <v>1.0303802122503551</v>
      </c>
      <c r="AC9" s="2" t="str">
        <f>_xlfn.XLOOKUP(Infill[[#This Row],[% Effective]],Rating[Max %],Rating[Name],,1)</f>
        <v>Normal</v>
      </c>
      <c r="AD9" s="2" t="str">
        <f>_xlfn.XLOOKUP(Infill[[#This Row],[% Effective]],Rating[Max %],Rating[level-to-worse],,1)</f>
        <v>![level-to-worse-4](https://github.com/OrcaSlicer/OrcaSlicer_WIKI/blob/main/images/misc/level-to-worse-4.svg?raw=true)</v>
      </c>
      <c r="AE9">
        <f>_xlfn.XLOOKUP(Infill[[#This Row],[infill]],Tabla7[infill],Tabla7[Total Time])</f>
        <v>233.01300000000001</v>
      </c>
      <c r="AF9" s="2">
        <f>Infill[[#This Row],[Total Time]]/AVERAGEIFS(Infill[Total Time],Infill[Material Usage Icon],_xlfn.XLOOKUP("Normal",Rating[Name],Rating[level-to-worse]))</f>
        <v>0.76489184158401069</v>
      </c>
      <c r="AG9" s="2" t="str">
        <f>_xlfn.XLOOKUP(Infill[[#This Row],[t prom]],Rating[Max %],Rating[Name],,1)</f>
        <v>Normal-Low</v>
      </c>
      <c r="AH9" s="2" t="str">
        <f>_xlfn.XLOOKUP(Infill[[#This Row],[t prom]],Rating[Max %],Rating[level-to-worse],,1)</f>
        <v>![level-to-worse-3](https://github.com/OrcaSlicer/OrcaSlicer_WIKI/blob/main/images/misc/level-to-worse-3.svg?raw=true)</v>
      </c>
      <c r="AI9" s="3">
        <f>Infill[[#This Row],[g]]/Infill[[#This Row],[Total Time]]</f>
        <v>0.66147382334891192</v>
      </c>
      <c r="AJ9" s="2">
        <f>Infill[[#This Row],[g/t]]/AVERAGEIFS(Infill[g/t],Infill[Material Usage Icon],_xlfn.XLOOKUP("Normal",Rating[Name],Rating[level-to-worse]))</f>
        <v>1.2140729642546002</v>
      </c>
      <c r="AK9" s="2" t="str">
        <f>_xlfn.XLOOKUP(Infill[[#This Row],[g/t prom]],Rating[Max %],Rating[Name],,1)</f>
        <v>Normal-High</v>
      </c>
      <c r="AL9" s="1" t="str">
        <f>_xlfn.XLOOKUP(Infill[[#This Row],[g/t prom]],Rating[Max %],Rating[level-to-better],,1)</f>
        <v>![level-to-better-5](https://github.com/OrcaSlicer/OrcaSlicer_WIKI/blob/main/images/misc/level-to-better-5.svg?raw=true)</v>
      </c>
      <c r="AM9" s="2" t="str">
        <f>SUBSTITUTE(LOWER(Infill[[#This Row],[name]])," ","-")</f>
        <v>line</v>
      </c>
      <c r="AN9" t="str">
        <f>"param_"&amp;Infill[[#This Row],[infill]]</f>
        <v>param_line</v>
      </c>
      <c r="AO9" t="str">
        <f>"&lt;img alt=""" &amp; Infill[[#This Row],[SVG]] &amp; """ src=""https://github.com/OrcaSlicer/OrcaSlicer/blob/main/resources/images/" &amp; Infill[[#This Row],[SVG]] &amp; ".svg?raw=true"" height=""45""&gt;"</f>
        <v>&lt;img alt="param_line" src="https://github.com/OrcaSlicer/OrcaSlicer/blob/main/resources/images/param_line.svg?raw=true" height="45"&gt;</v>
      </c>
      <c r="AP9" s="2" t="str">
        <f>"["&amp;Infill[[#This Row],[name]]&amp;"](#"&amp;Infill[[#This Row],[nameMD]]&amp;")"</f>
        <v>[Line](#line)</v>
      </c>
      <c r="AQ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**Applies to:**
    - **[Sparse Infill](strength_settings_infill#sparse-infill-density)**
![infill-top-line](https://github.com/OrcaSlicer/OrcaSlicer_WIKI/blob/main/images/fill/infill-top-line.png?raw=true)
</v>
      </c>
      <c r="AS9" t="str">
        <f>IF(OR(Infill[[#This Row],[Is Infill]],Infill[[#This Row],[Is Surface]])," { """&amp;Infill[[#This Row],[infill]]&amp;""", "&amp;Infill[[#This Row],[ip]]&amp;" },","")</f>
        <v xml:space="preserve"> { "line", ipLine },</v>
      </c>
      <c r="AT9" t="str">
        <f>IF(OR(Infill[[#This Row],[Is Infill]],Infill[[#This Row],[Is Surface]]),"def-&gt;enum_values.push_back("""&amp;Infill[[#This Row],[infill]]&amp;""");","")</f>
        <v>def-&gt;enum_values.push_back("line");</v>
      </c>
      <c r="AU9" t="str">
        <f>IF(OR(Infill[[#This Row],[Is Infill]],Infill[[#This Row],[Is Surface]]),"def-&gt;enum_labels.push_back(L("""&amp;Infill[[#This Row],[name]]&amp;"""));","")</f>
        <v>def-&gt;enum_labels.push_back(L("Line"));</v>
      </c>
      <c r="AW9" t="str">
        <f>Infill[[#This Row],[SVG Link]]</f>
        <v>&lt;img alt="param_line" src="https://github.com/OrcaSlicer/OrcaSlicer/blob/main/resources/images/param_line.svg?raw=true" height="45"&gt;</v>
      </c>
      <c r="AX9" s="1" t="str">
        <f>"["&amp;Infill[[#This Row],[name]]&amp;"](strength_settings_patterns#"&amp;Infill[[#This Row],[nameMD]]&amp;")"</f>
        <v>[Line](strength_settings_patterns#line)</v>
      </c>
      <c r="AY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9" s="1" t="str">
        <f>Infill[[#This Row],[Material Usage Icon]]</f>
        <v>![level-to-worse-4](https://github.com/OrcaSlicer/OrcaSlicer_WIKI/blob/main/images/misc/level-to-worse-4.svg?raw=true)</v>
      </c>
      <c r="BA9" s="1" t="str">
        <f>Infill[[#This Row],[Print Time Icon]]</f>
        <v>![level-to-worse-3](https://github.com/OrcaSlicer/OrcaSlicer_WIKI/blob/main/images/misc/level-to-worse-3.svg?raw=true)</v>
      </c>
      <c r="BB9" t="str">
        <f ca="1">Infill[[#This Row],[Layer time Variability Icon]]</f>
        <v>![level-to-worse-0](https://github.com/OrcaSlicer/OrcaSlicer_WIKI/blob/main/images/misc/level-to-worse-0.svg?raw=true)</v>
      </c>
      <c r="BC9" s="1" t="str">
        <f>Infill[[#This Row],[Multiline]]</f>
        <v>No</v>
      </c>
    </row>
    <row r="10" spans="1:55" ht="300" x14ac:dyDescent="0.25">
      <c r="A10" t="s">
        <v>167</v>
      </c>
      <c r="B10" t="s">
        <v>164</v>
      </c>
      <c r="E10">
        <v>8</v>
      </c>
      <c r="F10" t="b">
        <v>1</v>
      </c>
      <c r="G10" t="b">
        <v>0</v>
      </c>
      <c r="H10" t="b">
        <v>0</v>
      </c>
      <c r="I10" t="s">
        <v>2</v>
      </c>
      <c r="J10" t="s">
        <v>151</v>
      </c>
      <c r="K10" t="s">
        <v>89</v>
      </c>
      <c r="L10" t="s">
        <v>118</v>
      </c>
      <c r="M10" t="s">
        <v>218</v>
      </c>
      <c r="N10" t="s">
        <v>216</v>
      </c>
      <c r="O10" t="inlineStr">
        <is>
          <t>[Multiline](strength_settings_infill#fill-multiline) only</t>
        </is>
      </c>
      <c r="P10" s="6" t="s">
        <v>52</v>
      </c>
      <c r="Q10">
        <v>6</v>
      </c>
      <c r="R10" t="str">
        <f>_xlfn.XLOOKUP(Infill[[#This Row],[XY-N]],Rating[N],Rating[Name])</f>
        <v>High</v>
      </c>
      <c r="S10" t="str">
        <f>_xlfn.XLOOKUP(Infill[[#This Row],[XY-N]],Rating[N],Rating[level-to-better])</f>
        <v>![level-to-better-6](https://github.com/OrcaSlicer/OrcaSlicer_WIKI/blob/main/images/misc/level-to-better-6.svg?raw=true)</v>
      </c>
      <c r="T10">
        <v>6</v>
      </c>
      <c r="U10" t="str">
        <f>_xlfn.XLOOKUP(Infill[[#This Row],[Z-N]],Rating[N],Rating[Name])</f>
        <v>High</v>
      </c>
      <c r="V10" t="str">
        <f>_xlfn.XLOOKUP(Infill[[#This Row],[Z-N]],Rating[N],Rating[level-to-better])</f>
        <v>![level-to-better-6](https://github.com/OrcaSlicer/OrcaSlicer_WIKI/blob/main/images/misc/level-to-better-6.svg?raw=true)</v>
      </c>
      <c r="W10" s="11">
        <f ca="1">_xlfn.XLOOKUP(Infill[[#This Row],[infill]],Tabla7[infill],Tabla7[% 2 Sigma])</f>
        <v>2.3202246436908602E-3</v>
      </c>
      <c r="X10" t="str">
        <f ca="1">_xlfn.XLOOKUP(Infill[[#This Row],[% 2 Sigma]],AbsRating[Max %],AbsRating[Name],,1)</f>
        <v>None</v>
      </c>
      <c r="Y10" t="str">
        <f ca="1">_xlfn.XLOOKUP(Infill[[#This Row],[% 2 Sigma]],AbsRating[Max %],AbsRating[icon],,1)</f>
        <v>![level-to-worse-0](https://github.com/OrcaSlicer/OrcaSlicer_WIKI/blob/main/images/misc/level-to-worse-0.svg?raw=true)</v>
      </c>
      <c r="Z10" s="2" t="s">
        <v>72</v>
      </c>
      <c r="AA10">
        <f>_xlfn.XLOOKUP(Infill[[#This Row],[infill]],Tabla7[infill],Tabla7[g])</f>
        <v>149.02500000000001</v>
      </c>
      <c r="AB10" s="2">
        <f>Infill[[#This Row],[g]]/(997.25*0.15)</f>
        <v>0.99623965906242162</v>
      </c>
      <c r="AC10" s="2" t="str">
        <f>_xlfn.XLOOKUP(Infill[[#This Row],[% Effective]],Rating[Max %],Rating[Name],,1)</f>
        <v>Normal</v>
      </c>
      <c r="AD10" s="2" t="str">
        <f>_xlfn.XLOOKUP(Infill[[#This Row],[% Effective]],Rating[Max %],Rating[level-to-worse],,1)</f>
        <v>![level-to-worse-4](https://github.com/OrcaSlicer/OrcaSlicer_WIKI/blob/main/images/misc/level-to-worse-4.svg?raw=true)</v>
      </c>
      <c r="AE10">
        <f>_xlfn.XLOOKUP(Infill[[#This Row],[infill]],Tabla7[infill],Tabla7[Total Time])</f>
        <v>228.24299999999999</v>
      </c>
      <c r="AF10" s="2">
        <f>Infill[[#This Row],[Total Time]]/AVERAGEIFS(Infill[Total Time],Infill[Material Usage Icon],_xlfn.XLOOKUP("Normal",Rating[Name],Rating[level-to-worse]))</f>
        <v>0.74923377064223606</v>
      </c>
      <c r="AG10" s="2" t="str">
        <f>_xlfn.XLOOKUP(Infill[[#This Row],[t prom]],Rating[Max %],Rating[Name],,1)</f>
        <v>Low</v>
      </c>
      <c r="AH10" s="2" t="str">
        <f>_xlfn.XLOOKUP(Infill[[#This Row],[t prom]],Rating[Max %],Rating[level-to-worse],,1)</f>
        <v>![level-to-worse-2](https://github.com/OrcaSlicer/OrcaSlicer_WIKI/blob/main/images/misc/level-to-worse-2.svg?raw=true)</v>
      </c>
      <c r="AI10" s="3">
        <f>Infill[[#This Row],[g]]/Infill[[#This Row],[Total Time]]</f>
        <v>0.65292254307908681</v>
      </c>
      <c r="AJ10" s="2">
        <f>Infill[[#This Row],[g/t]]/AVERAGEIFS(Infill[g/t],Infill[Material Usage Icon],_xlfn.XLOOKUP("Normal",Rating[Name],Rating[level-to-worse]))</f>
        <v>1.1983778939148595</v>
      </c>
      <c r="AK10" s="2" t="str">
        <f>_xlfn.XLOOKUP(Infill[[#This Row],[g/t prom]],Rating[Max %],Rating[Name],,1)</f>
        <v>Normal-High</v>
      </c>
      <c r="AL10" s="1" t="str">
        <f>_xlfn.XLOOKUP(Infill[[#This Row],[g/t prom]],Rating[Max %],Rating[level-to-better],,1)</f>
        <v>![level-to-better-5](https://github.com/OrcaSlicer/OrcaSlicer_WIKI/blob/main/images/misc/level-to-better-5.svg?raw=true)</v>
      </c>
      <c r="AM10" s="2" t="str">
        <f>SUBSTITUTE(LOWER(Infill[[#This Row],[name]])," ","-")</f>
        <v>grid</v>
      </c>
      <c r="AN10" t="str">
        <f>"param_"&amp;Infill[[#This Row],[infill]]</f>
        <v>param_grid</v>
      </c>
      <c r="AO10" t="str">
        <f>"&lt;img alt=""" &amp; Infill[[#This Row],[SVG]] &amp; """ src=""https://github.com/OrcaSlicer/OrcaSlicer/blob/main/resources/images/" &amp; Infill[[#This Row],[SVG]] &amp; ".svg?raw=true"" height=""45""&gt;"</f>
        <v>&lt;img alt="param_grid" src="https://github.com/OrcaSlicer/OrcaSlicer/blob/main/resources/images/param_grid.svg?raw=true" height="45"&gt;</v>
      </c>
      <c r="AP10" s="2" t="str">
        <f>"["&amp;Infill[[#This Row],[name]]&amp;"](#"&amp;Infill[[#This Row],[nameMD]]&amp;")"</f>
        <v>[Grid](#grid)</v>
      </c>
      <c r="AQ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![infill-top-grid](https://github.com/OrcaSlicer/OrcaSlicer_WIKI/blob/main/images/fill/infill-top-grid.png?raw=true)
</v>
      </c>
      <c r="AS10" t="str">
        <f>IF(OR(Infill[[#This Row],[Is Infill]],Infill[[#This Row],[Is Surface]])," { """&amp;Infill[[#This Row],[infill]]&amp;""", "&amp;Infill[[#This Row],[ip]]&amp;" },","")</f>
        <v xml:space="preserve"> { "grid", ipGrid },</v>
      </c>
      <c r="AT10" t="str">
        <f>IF(OR(Infill[[#This Row],[Is Infill]],Infill[[#This Row],[Is Surface]]),"def-&gt;enum_values.push_back("""&amp;Infill[[#This Row],[infill]]&amp;""");","")</f>
        <v>def-&gt;enum_values.push_back("grid");</v>
      </c>
      <c r="AU10" t="str">
        <f>IF(OR(Infill[[#This Row],[Is Infill]],Infill[[#This Row],[Is Surface]]),"def-&gt;enum_labels.push_back(L("""&amp;Infill[[#This Row],[name]]&amp;"""));","")</f>
        <v>def-&gt;enum_labels.push_back(L("Grid"));</v>
      </c>
      <c r="AW10" t="str">
        <f>Infill[[#This Row],[SVG Link]]</f>
        <v>&lt;img alt="param_grid" src="https://github.com/OrcaSlicer/OrcaSlicer/blob/main/resources/images/param_grid.svg?raw=true" height="45"&gt;</v>
      </c>
      <c r="AX10" s="1" t="str">
        <f>"["&amp;Infill[[#This Row],[name]]&amp;"](strength_settings_patterns#"&amp;Infill[[#This Row],[nameMD]]&amp;")"</f>
        <v>[Grid](strength_settings_patterns#grid)</v>
      </c>
      <c r="AY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0" s="1" t="str">
        <f>Infill[[#This Row],[Material Usage Icon]]</f>
        <v>![level-to-worse-4](https://github.com/OrcaSlicer/OrcaSlicer_WIKI/blob/main/images/misc/level-to-worse-4.svg?raw=true)</v>
      </c>
      <c r="BA10" s="1" t="str">
        <f>Infill[[#This Row],[Print Time Icon]]</f>
        <v>![level-to-worse-2](https://github.com/OrcaSlicer/OrcaSlicer_WIKI/blob/main/images/misc/level-to-worse-2.svg?raw=true)</v>
      </c>
      <c r="BB10" t="str">
        <f ca="1">Infill[[#This Row],[Layer time Variability Icon]]</f>
        <v>![level-to-worse-0](https://github.com/OrcaSlicer/OrcaSlicer_WIKI/blob/main/images/misc/level-to-worse-0.svg?raw=true)</v>
      </c>
      <c r="BC10" s="1" t="str">
        <f>Infill[[#This Row],[Multiline]]</f>
        <v>[Non-Crossing](strength_settings_infill#non-crossing-strategy)</v>
      </c>
    </row>
    <row r="11" spans="1:55" ht="300" x14ac:dyDescent="0.25">
      <c r="A11" t="s">
        <v>185</v>
      </c>
      <c r="B11" t="s">
        <v>168</v>
      </c>
      <c r="E11">
        <v>9</v>
      </c>
      <c r="F11" t="b">
        <v>1</v>
      </c>
      <c r="G11" t="b">
        <v>0</v>
      </c>
      <c r="H11" t="b">
        <v>0</v>
      </c>
      <c r="I11" t="s">
        <v>5</v>
      </c>
      <c r="J11" t="s">
        <v>151</v>
      </c>
      <c r="K11" t="s">
        <v>92</v>
      </c>
      <c r="L11" t="s">
        <v>121</v>
      </c>
      <c r="M11" t="s">
        <v>218</v>
      </c>
      <c r="N11" t="s">
        <v>216</v>
      </c>
      <c r="O11" t="inlineStr">
        <is>
          <t>[Multiline](strength_settings_infill#fill-multiline) only</t>
        </is>
      </c>
      <c r="P11" s="6" t="s">
        <v>55</v>
      </c>
      <c r="Q11">
        <v>6</v>
      </c>
      <c r="R11" t="str">
        <f>_xlfn.XLOOKUP(Infill[[#This Row],[XY-N]],Rating[N],Rating[Name])</f>
        <v>High</v>
      </c>
      <c r="S11" t="str">
        <f>_xlfn.XLOOKUP(Infill[[#This Row],[XY-N]],Rating[N],Rating[level-to-better])</f>
        <v>![level-to-better-6](https://github.com/OrcaSlicer/OrcaSlicer_WIKI/blob/main/images/misc/level-to-better-6.svg?raw=true)</v>
      </c>
      <c r="T11">
        <v>4</v>
      </c>
      <c r="U11" t="str">
        <f>_xlfn.XLOOKUP(Infill[[#This Row],[Z-N]],Rating[N],Rating[Name])</f>
        <v>Normal</v>
      </c>
      <c r="V11" t="str">
        <f>_xlfn.XLOOKUP(Infill[[#This Row],[Z-N]],Rating[N],Rating[level-to-better])</f>
        <v>![level-to-better-4](https://github.com/OrcaSlicer/OrcaSlicer_WIKI/blob/main/images/misc/level-to-better-4.svg?raw=true)</v>
      </c>
      <c r="W11" s="11">
        <f ca="1">_xlfn.XLOOKUP(Infill[[#This Row],[infill]],Tabla7[infill],Tabla7[% 2 Sigma])</f>
        <v>5.2915881382993302E-3</v>
      </c>
      <c r="X11" t="str">
        <f ca="1">_xlfn.XLOOKUP(Infill[[#This Row],[% 2 Sigma]],AbsRating[Max %],AbsRating[Name],,1)</f>
        <v>None</v>
      </c>
      <c r="Y11" t="str">
        <f ca="1">_xlfn.XLOOKUP(Infill[[#This Row],[% 2 Sigma]],AbsRating[Max %],AbsRating[icon],,1)</f>
        <v>![level-to-worse-0](https://github.com/OrcaSlicer/OrcaSlicer_WIKI/blob/main/images/misc/level-to-worse-0.svg?raw=true)</v>
      </c>
      <c r="Z11" s="2" t="s">
        <v>72</v>
      </c>
      <c r="AA11">
        <f>_xlfn.XLOOKUP(Infill[[#This Row],[infill]],Tabla7[infill],Tabla7[g])</f>
        <v>149.238</v>
      </c>
      <c r="AB11" s="2">
        <f>Infill[[#This Row],[g]]/(997.25*0.15)</f>
        <v>0.99766357483078461</v>
      </c>
      <c r="AC11" s="2" t="str">
        <f>_xlfn.XLOOKUP(Infill[[#This Row],[% Effective]],Rating[Max %],Rating[Name],,1)</f>
        <v>Normal</v>
      </c>
      <c r="AD11" s="2" t="str">
        <f>_xlfn.XLOOKUP(Infill[[#This Row],[% Effective]],Rating[Max %],Rating[level-to-worse],,1)</f>
        <v>![level-to-worse-4](https://github.com/OrcaSlicer/OrcaSlicer_WIKI/blob/main/images/misc/level-to-worse-4.svg?raw=true)</v>
      </c>
      <c r="AE11">
        <f>_xlfn.XLOOKUP(Infill[[#This Row],[infill]],Tabla7[infill],Tabla7[Total Time])</f>
        <v>237.393</v>
      </c>
      <c r="AF11" s="2">
        <f>Infill[[#This Row],[Total Time]]/AVERAGEIFS(Infill[Total Time],Infill[Material Usage Icon],_xlfn.XLOOKUP("Normal",Rating[Name],Rating[level-to-worse]))</f>
        <v>0.77926969288903647</v>
      </c>
      <c r="AG11" s="2" t="str">
        <f>_xlfn.XLOOKUP(Infill[[#This Row],[t prom]],Rating[Max %],Rating[Name],,1)</f>
        <v>Normal-Low</v>
      </c>
      <c r="AH11" s="2" t="str">
        <f>_xlfn.XLOOKUP(Infill[[#This Row],[t prom]],Rating[Max %],Rating[level-to-worse],,1)</f>
        <v>![level-to-worse-3](https://github.com/OrcaSlicer/OrcaSlicer_WIKI/blob/main/images/misc/level-to-worse-3.svg?raw=true)</v>
      </c>
      <c r="AI11" s="3">
        <f>Infill[[#This Row],[g]]/Infill[[#This Row],[Total Time]]</f>
        <v>0.62865375137430335</v>
      </c>
      <c r="AJ11" s="2">
        <f>Infill[[#This Row],[g/t]]/AVERAGEIFS(Infill[g/t],Infill[Material Usage Icon],_xlfn.XLOOKUP("Normal",Rating[Name],Rating[level-to-worse]))</f>
        <v>1.1538348102071276</v>
      </c>
      <c r="AK11" s="2" t="str">
        <f>_xlfn.XLOOKUP(Infill[[#This Row],[g/t prom]],Rating[Max %],Rating[Name],,1)</f>
        <v>Normal-High</v>
      </c>
      <c r="AL11" s="1" t="str">
        <f>_xlfn.XLOOKUP(Infill[[#This Row],[g/t prom]],Rating[Max %],Rating[level-to-better],,1)</f>
        <v>![level-to-better-5](https://github.com/OrcaSlicer/OrcaSlicer_WIKI/blob/main/images/misc/level-to-better-5.svg?raw=true)</v>
      </c>
      <c r="AM11" s="2" t="str">
        <f>SUBSTITUTE(LOWER(Infill[[#This Row],[name]])," ","-")</f>
        <v>triangles</v>
      </c>
      <c r="AN11" t="str">
        <f>"param_"&amp;Infill[[#This Row],[infill]]</f>
        <v>param_triangles</v>
      </c>
      <c r="AO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P11" s="2" t="str">
        <f>"["&amp;Infill[[#This Row],[name]]&amp;"](#"&amp;Infill[[#This Row],[nameMD]]&amp;")"</f>
        <v>[Triangles](#triangles)</v>
      </c>
      <c r="AQ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![infill-top-triangles](https://github.com/OrcaSlicer/OrcaSlicer_WIKI/blob/main/images/fill/infill-top-triangles.png?raw=true)
</v>
      </c>
      <c r="AS11" t="str">
        <f>IF(OR(Infill[[#This Row],[Is Infill]],Infill[[#This Row],[Is Surface]])," { """&amp;Infill[[#This Row],[infill]]&amp;""", "&amp;Infill[[#This Row],[ip]]&amp;" },","")</f>
        <v xml:space="preserve"> { "triangles", ipTriangles },</v>
      </c>
      <c r="AT11" t="str">
        <f>IF(OR(Infill[[#This Row],[Is Infill]],Infill[[#This Row],[Is Surface]]),"def-&gt;enum_values.push_back("""&amp;Infill[[#This Row],[infill]]&amp;""");","")</f>
        <v>def-&gt;enum_values.push_back("triangles");</v>
      </c>
      <c r="AU11" t="str">
        <f>IF(OR(Infill[[#This Row],[Is Infill]],Infill[[#This Row],[Is Surface]]),"def-&gt;enum_labels.push_back(L("""&amp;Infill[[#This Row],[name]]&amp;"""));","")</f>
        <v>def-&gt;enum_labels.push_back(L("Triangles"));</v>
      </c>
      <c r="AW11" t="str">
        <f>Infill[[#This Row],[SVG Link]]</f>
        <v>&lt;img alt="param_triangles" src="https://github.com/OrcaSlicer/OrcaSlicer/blob/main/resources/images/param_triangles.svg?raw=true" height="45"&gt;</v>
      </c>
      <c r="AX11" s="1" t="str">
        <f>"["&amp;Infill[[#This Row],[name]]&amp;"](strength_settings_patterns#"&amp;Infill[[#This Row],[nameMD]]&amp;")"</f>
        <v>[Triangles](strength_settings_patterns#triangles)</v>
      </c>
      <c r="AY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Z11" s="1" t="str">
        <f>Infill[[#This Row],[Material Usage Icon]]</f>
        <v>![level-to-worse-4](https://github.com/OrcaSlicer/OrcaSlicer_WIKI/blob/main/images/misc/level-to-worse-4.svg?raw=true)</v>
      </c>
      <c r="BA11" s="1" t="str">
        <f>Infill[[#This Row],[Print Time Icon]]</f>
        <v>![level-to-worse-3](https://github.com/OrcaSlicer/OrcaSlicer_WIKI/blob/main/images/misc/level-to-worse-3.svg?raw=true)</v>
      </c>
      <c r="BB11" t="str">
        <f ca="1">Infill[[#This Row],[Layer time Variability Icon]]</f>
        <v>![level-to-worse-0](https://github.com/OrcaSlicer/OrcaSlicer_WIKI/blob/main/images/misc/level-to-worse-0.svg?raw=true)</v>
      </c>
      <c r="BC11" s="1" t="str">
        <f>Infill[[#This Row],[Multiline]]</f>
        <v>[Non-Crossing](strength_settings_infill#non-crossing-strategy)</v>
      </c>
    </row>
    <row r="12" spans="1:55" ht="300" x14ac:dyDescent="0.25">
      <c r="A12" t="s">
        <v>186</v>
      </c>
      <c r="B12" t="s">
        <v>170</v>
      </c>
      <c r="E12">
        <v>10</v>
      </c>
      <c r="F12" t="b">
        <v>1</v>
      </c>
      <c r="G12" t="b">
        <v>0</v>
      </c>
      <c r="H12" t="b">
        <v>0</v>
      </c>
      <c r="I12" t="s">
        <v>6</v>
      </c>
      <c r="J12" t="s">
        <v>151</v>
      </c>
      <c r="K12" t="s">
        <v>93</v>
      </c>
      <c r="L12" t="s">
        <v>122</v>
      </c>
      <c r="M12" t="s">
        <v>218</v>
      </c>
      <c r="N12" t="s">
        <v>216</v>
      </c>
      <c r="O12" t="inlineStr">
        <is>
          <t>[Multiline](strength_settings_infill#fill-multiline) only</t>
        </is>
      </c>
      <c r="P12" s="6" t="s">
        <v>56</v>
      </c>
      <c r="Q12">
        <v>6</v>
      </c>
      <c r="R12" t="str">
        <f>_xlfn.XLOOKUP(Infill[[#This Row],[XY-N]],Rating[N],Rating[Name])</f>
        <v>High</v>
      </c>
      <c r="S12" t="str">
        <f>_xlfn.XLOOKUP(Infill[[#This Row],[XY-N]],Rating[N],Rating[level-to-better])</f>
        <v>![level-to-better-6](https://github.com/OrcaSlicer/OrcaSlicer_WIKI/blob/main/images/misc/level-to-better-6.svg?raw=true)</v>
      </c>
      <c r="T12">
        <v>5</v>
      </c>
      <c r="U12" t="str">
        <f>_xlfn.XLOOKUP(Infill[[#This Row],[Z-N]],Rating[N],Rating[Name])</f>
        <v>Normal-High</v>
      </c>
      <c r="V12" t="str">
        <f>_xlfn.XLOOKUP(Infill[[#This Row],[Z-N]],Rating[N],Rating[level-to-better])</f>
        <v>![level-to-better-5](https://github.com/OrcaSlicer/OrcaSlicer_WIKI/blob/main/images/misc/level-to-better-5.svg?raw=true)</v>
      </c>
      <c r="W12" s="11">
        <f ca="1">_xlfn.XLOOKUP(Infill[[#This Row],[infill]],Tabla7[infill],Tabla7[% 2 Sigma])</f>
        <v>6.8892617533744538E-3</v>
      </c>
      <c r="X12" t="str">
        <f ca="1">_xlfn.XLOOKUP(Infill[[#This Row],[% 2 Sigma]],AbsRating[Max %],AbsRating[Name],,1)</f>
        <v>None</v>
      </c>
      <c r="Y12" t="str">
        <f ca="1">_xlfn.XLOOKUP(Infill[[#This Row],[% 2 Sigma]],AbsRating[Max %],AbsRating[icon],,1)</f>
        <v>![level-to-worse-0](https://github.com/OrcaSlicer/OrcaSlicer_WIKI/blob/main/images/misc/level-to-worse-0.svg?raw=true)</v>
      </c>
      <c r="Z12" s="2" t="s">
        <v>72</v>
      </c>
      <c r="AA12">
        <f>_xlfn.XLOOKUP(Infill[[#This Row],[infill]],Tabla7[infill],Tabla7[g])</f>
        <v>149.01599999999999</v>
      </c>
      <c r="AB12" s="2">
        <f>Infill[[#This Row],[g]]/(997.25*0.15)</f>
        <v>0.99617949360742031</v>
      </c>
      <c r="AC12" s="2" t="str">
        <f>_xlfn.XLOOKUP(Infill[[#This Row],[% Effective]],Rating[Max %],Rating[Name],,1)</f>
        <v>Normal</v>
      </c>
      <c r="AD12" s="2" t="str">
        <f>_xlfn.XLOOKUP(Infill[[#This Row],[% Effective]],Rating[Max %],Rating[level-to-worse],,1)</f>
        <v>![level-to-worse-4](https://github.com/OrcaSlicer/OrcaSlicer_WIKI/blob/main/images/misc/level-to-worse-4.svg?raw=true)</v>
      </c>
      <c r="AE12">
        <f>_xlfn.XLOOKUP(Infill[[#This Row],[infill]],Tabla7[infill],Tabla7[Total Time])</f>
        <v>235.82900000000001</v>
      </c>
      <c r="AF12" s="2">
        <f>Infill[[#This Row],[Total Time]]/AVERAGEIFS(Infill[Total Time],Infill[Material Usage Icon],_xlfn.XLOOKUP("Normal",Rating[Name],Rating[level-to-worse]))</f>
        <v>0.77413568388422815</v>
      </c>
      <c r="AG12" s="2" t="str">
        <f>_xlfn.XLOOKUP(Infill[[#This Row],[t prom]],Rating[Max %],Rating[Name],,1)</f>
        <v>Normal-Low</v>
      </c>
      <c r="AH12" s="2" t="str">
        <f>_xlfn.XLOOKUP(Infill[[#This Row],[t prom]],Rating[Max %],Rating[level-to-worse],,1)</f>
        <v>![level-to-worse-3](https://github.com/OrcaSlicer/OrcaSlicer_WIKI/blob/main/images/misc/level-to-worse-3.svg?raw=true)</v>
      </c>
      <c r="AI12" s="3">
        <f>Infill[[#This Row],[g]]/Infill[[#This Row],[Total Time]]</f>
        <v>0.63188157520915578</v>
      </c>
      <c r="AJ12" s="2">
        <f>Infill[[#This Row],[g/t]]/AVERAGEIFS(Infill[g/t],Infill[Material Usage Icon],_xlfn.XLOOKUP("Normal",Rating[Name],Rating[level-to-worse]))</f>
        <v>1.159759177147955</v>
      </c>
      <c r="AK12" s="2" t="str">
        <f>_xlfn.XLOOKUP(Infill[[#This Row],[g/t prom]],Rating[Max %],Rating[Name],,1)</f>
        <v>Normal-High</v>
      </c>
      <c r="AL12" s="1" t="str">
        <f>_xlfn.XLOOKUP(Infill[[#This Row],[g/t prom]],Rating[Max %],Rating[level-to-better],,1)</f>
        <v>![level-to-better-5](https://github.com/OrcaSlicer/OrcaSlicer_WIKI/blob/main/images/misc/level-to-better-5.svg?raw=true)</v>
      </c>
      <c r="AM12" s="2" t="str">
        <f>SUBSTITUTE(LOWER(Infill[[#This Row],[name]])," ","-")</f>
        <v>tri-hexagon</v>
      </c>
      <c r="AN12" t="str">
        <f>"param_"&amp;Infill[[#This Row],[infill]]</f>
        <v>param_tri-hexagon</v>
      </c>
      <c r="AO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P12" s="2" t="str">
        <f>"["&amp;Infill[[#This Row],[name]]&amp;"](#"&amp;Infill[[#This Row],[nameMD]]&amp;")"</f>
        <v>[Tri-hexagon](#tri-hexagon)</v>
      </c>
      <c r="AQ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![infill-top-tri-hexagon](https://github.com/OrcaSlicer/OrcaSlicer_WIKI/blob/main/images/fill/infill-top-tri-hexagon.png?raw=true)
</v>
      </c>
      <c r="AS12" t="str">
        <f>IF(OR(Infill[[#This Row],[Is Infill]],Infill[[#This Row],[Is Surface]])," { """&amp;Infill[[#This Row],[infill]]&amp;""", "&amp;Infill[[#This Row],[ip]]&amp;" },","")</f>
        <v xml:space="preserve"> { "tri-hexagon", ipStars },</v>
      </c>
      <c r="AT12" t="str">
        <f>IF(OR(Infill[[#This Row],[Is Infill]],Infill[[#This Row],[Is Surface]]),"def-&gt;enum_values.push_back("""&amp;Infill[[#This Row],[infill]]&amp;""");","")</f>
        <v>def-&gt;enum_values.push_back("tri-hexagon");</v>
      </c>
      <c r="AU12" t="str">
        <f>IF(OR(Infill[[#This Row],[Is Infill]],Infill[[#This Row],[Is Surface]]),"def-&gt;enum_labels.push_back(L("""&amp;Infill[[#This Row],[name]]&amp;"""));","")</f>
        <v>def-&gt;enum_labels.push_back(L("Tri-hexagon"));</v>
      </c>
      <c r="AW12" t="str">
        <f>Infill[[#This Row],[SVG Link]]</f>
        <v>&lt;img alt="param_tri-hexagon" src="https://github.com/OrcaSlicer/OrcaSlicer/blob/main/resources/images/param_tri-hexagon.svg?raw=true" height="45"&gt;</v>
      </c>
      <c r="AX12" s="1" t="str">
        <f>"["&amp;Infill[[#This Row],[name]]&amp;"](strength_settings_patterns#"&amp;Infill[[#This Row],[nameMD]]&amp;")"</f>
        <v>[Tri-hexagon](strength_settings_patterns#tri-hexagon)</v>
      </c>
      <c r="AY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Z12" s="1" t="str">
        <f>Infill[[#This Row],[Material Usage Icon]]</f>
        <v>![level-to-worse-4](https://github.com/OrcaSlicer/OrcaSlicer_WIKI/blob/main/images/misc/level-to-worse-4.svg?raw=true)</v>
      </c>
      <c r="BA12" s="1" t="str">
        <f>Infill[[#This Row],[Print Time Icon]]</f>
        <v>![level-to-worse-3](https://github.com/OrcaSlicer/OrcaSlicer_WIKI/blob/main/images/misc/level-to-worse-3.svg?raw=true)</v>
      </c>
      <c r="BB12" t="str">
        <f ca="1">Infill[[#This Row],[Layer time Variability Icon]]</f>
        <v>![level-to-worse-0](https://github.com/OrcaSlicer/OrcaSlicer_WIKI/blob/main/images/misc/level-to-worse-0.svg?raw=true)</v>
      </c>
      <c r="BC12" s="1" t="str">
        <f>Infill[[#This Row],[Multiline]]</f>
        <v>[Non-Crossing](strength_settings_infill#non-crossing-strategy)</v>
      </c>
    </row>
    <row r="13" spans="5:55" ht="300" x14ac:dyDescent="0.25">
      <c r="E13">
        <v>11</v>
      </c>
      <c r="F13" t="b">
        <v>1</v>
      </c>
      <c r="G13" t="b">
        <v>0</v>
      </c>
      <c r="H13" t="b">
        <v>0</v>
      </c>
      <c r="I13" t="s">
        <v>4</v>
      </c>
      <c r="J13" t="s">
        <v>4</v>
      </c>
      <c r="K13" t="s">
        <v>91</v>
      </c>
      <c r="L13" t="s">
        <v>120</v>
      </c>
      <c r="M13" t="s">
        <v>217</v>
      </c>
      <c r="N13" t="s">
        <v>216</v>
      </c>
      <c r="O13" t="inlineStr">
        <is>
          <t>No</t>
        </is>
      </c>
      <c r="P13" s="6" t="s">
        <v>54</v>
      </c>
      <c r="Q13">
        <v>6</v>
      </c>
      <c r="R13" t="str">
        <f>_xlfn.XLOOKUP(Infill[[#This Row],[XY-N]],Rating[N],Rating[Name])</f>
        <v>High</v>
      </c>
      <c r="S13" t="str">
        <f>_xlfn.XLOOKUP(Infill[[#This Row],[XY-N]],Rating[N],Rating[level-to-better])</f>
        <v>![level-to-better-6](https://github.com/OrcaSlicer/OrcaSlicer_WIKI/blob/main/images/misc/level-to-better-6.svg?raw=true)</v>
      </c>
      <c r="T13">
        <v>6</v>
      </c>
      <c r="U13" t="str">
        <f>_xlfn.XLOOKUP(Infill[[#This Row],[Z-N]],Rating[N],Rating[Name])</f>
        <v>High</v>
      </c>
      <c r="V13" t="str">
        <f>_xlfn.XLOOKUP(Infill[[#This Row],[Z-N]],Rating[N],Rating[level-to-better])</f>
        <v>![level-to-better-6](https://github.com/OrcaSlicer/OrcaSlicer_WIKI/blob/main/images/misc/level-to-better-6.svg?raw=true)</v>
      </c>
      <c r="W13" s="11">
        <f ca="1">_xlfn.XLOOKUP(Infill[[#This Row],[infill]],Tabla7[infill],Tabla7[% 2 Sigma])</f>
        <v>1.1121658311513682E-2</v>
      </c>
      <c r="X13" t="str">
        <f ca="1">_xlfn.XLOOKUP(Infill[[#This Row],[% 2 Sigma]],AbsRating[Max %],AbsRating[Name],,1)</f>
        <v>Unnoticeable</v>
      </c>
      <c r="Y13" t="str">
        <f ca="1">_xlfn.XLOOKUP(Infill[[#This Row],[% 2 Sigma]],AbsRating[Max %],AbsRating[icon],,1)</f>
        <v>![level-to-worse-2](https://github.com/OrcaSlicer/OrcaSlicer_WIKI/blob/main/images/misc/level-to-worse-2.svg?raw=true)</v>
      </c>
      <c r="Z13" s="2" t="s">
        <v>72</v>
      </c>
      <c r="AA13">
        <f>_xlfn.XLOOKUP(Infill[[#This Row],[infill]],Tabla7[infill],Tabla7[g])</f>
        <v>149.00200000000001</v>
      </c>
      <c r="AB13" s="2">
        <f>Infill[[#This Row],[g]]/(997.25*0.15)</f>
        <v>0.99608590289964072</v>
      </c>
      <c r="AC13" s="2" t="str">
        <f>_xlfn.XLOOKUP(Infill[[#This Row],[% Effective]],Rating[Max %],Rating[Name],,1)</f>
        <v>Normal</v>
      </c>
      <c r="AD13" s="2" t="str">
        <f>_xlfn.XLOOKUP(Infill[[#This Row],[% Effective]],Rating[Max %],Rating[level-to-worse],,1)</f>
        <v>![level-to-worse-4](https://github.com/OrcaSlicer/OrcaSlicer_WIKI/blob/main/images/misc/level-to-worse-4.svg?raw=true)</v>
      </c>
      <c r="AE13">
        <f>_xlfn.XLOOKUP(Infill[[#This Row],[infill]],Tabla7[infill],Tabla7[Total Time])</f>
        <v>237.47900000000001</v>
      </c>
      <c r="AF13" s="2">
        <f>Infill[[#This Row],[Total Time]]/AVERAGEIFS(Infill[Total Time],Infill[Material Usage Icon],_xlfn.XLOOKUP("Normal",Rating[Name],Rating[level-to-worse]))</f>
        <v>0.77955199773201189</v>
      </c>
      <c r="AG13" s="2" t="str">
        <f>_xlfn.XLOOKUP(Infill[[#This Row],[t prom]],Rating[Max %],Rating[Name],,1)</f>
        <v>Normal-Low</v>
      </c>
      <c r="AH13" s="2" t="str">
        <f>_xlfn.XLOOKUP(Infill[[#This Row],[t prom]],Rating[Max %],Rating[level-to-worse],,1)</f>
        <v>![level-to-worse-3](https://github.com/OrcaSlicer/OrcaSlicer_WIKI/blob/main/images/misc/level-to-worse-3.svg?raw=true)</v>
      </c>
      <c r="AI13" s="3">
        <f>Infill[[#This Row],[g]]/Infill[[#This Row],[Total Time]]</f>
        <v>0.627432320331482</v>
      </c>
      <c r="AJ13" s="2">
        <f>Infill[[#This Row],[g/t]]/AVERAGEIFS(Infill[g/t],Infill[Material Usage Icon],_xlfn.XLOOKUP("Normal",Rating[Name],Rating[level-to-worse]))</f>
        <v>1.1515929884532705</v>
      </c>
      <c r="AK13" s="2" t="str">
        <f>_xlfn.XLOOKUP(Infill[[#This Row],[g/t prom]],Rating[Max %],Rating[Name],,1)</f>
        <v>Normal-High</v>
      </c>
      <c r="AL13" s="1" t="str">
        <f>_xlfn.XLOOKUP(Infill[[#This Row],[g/t prom]],Rating[Max %],Rating[level-to-better],,1)</f>
        <v>![level-to-better-5](https://github.com/OrcaSlicer/OrcaSlicer_WIKI/blob/main/images/misc/level-to-better-5.svg?raw=true)</v>
      </c>
      <c r="AM13" s="2" t="str">
        <f>SUBSTITUTE(LOWER(Infill[[#This Row],[name]])," ","-")</f>
        <v>cubic</v>
      </c>
      <c r="AN13" t="str">
        <f>"param_"&amp;Infill[[#This Row],[infill]]</f>
        <v>param_cubic</v>
      </c>
      <c r="AO13" t="str">
        <f>"&lt;img alt=""" &amp; Infill[[#This Row],[SVG]] &amp; """ src=""https://github.com/OrcaSlicer/OrcaSlicer/blob/main/resources/images/" &amp; Infill[[#This Row],[SVG]] &amp; ".svg?raw=true"" height=""45""&gt;"</f>
        <v>&lt;img alt="param_cubic" src="https://github.com/OrcaSlicer/OrcaSlicer/blob/main/resources/images/param_cubic.svg?raw=true" height="45"&gt;</v>
      </c>
      <c r="AP13" s="2" t="str">
        <f>"["&amp;Infill[[#This Row],[name]]&amp;"](#"&amp;Infill[[#This Row],[nameMD]]&amp;")"</f>
        <v>[Cubic](#cubic)</v>
      </c>
      <c r="AQ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![infill-top-cubic](https://github.com/OrcaSlicer/OrcaSlicer_WIKI/blob/main/images/fill/infill-top-cubic.png?raw=true)
</v>
      </c>
      <c r="AS13" t="str">
        <f>IF(OR(Infill[[#This Row],[Is Infill]],Infill[[#This Row],[Is Surface]])," { """&amp;Infill[[#This Row],[infill]]&amp;""", "&amp;Infill[[#This Row],[ip]]&amp;" },","")</f>
        <v xml:space="preserve"> { "cubic", ipCubic },</v>
      </c>
      <c r="AT13" t="str">
        <f>IF(OR(Infill[[#This Row],[Is Infill]],Infill[[#This Row],[Is Surface]]),"def-&gt;enum_values.push_back("""&amp;Infill[[#This Row],[infill]]&amp;""");","")</f>
        <v>def-&gt;enum_values.push_back("cubic");</v>
      </c>
      <c r="AU13" t="str">
        <f>IF(OR(Infill[[#This Row],[Is Infill]],Infill[[#This Row],[Is Surface]]),"def-&gt;enum_labels.push_back(L("""&amp;Infill[[#This Row],[name]]&amp;"""));","")</f>
        <v>def-&gt;enum_labels.push_back(L("Cubic"));</v>
      </c>
      <c r="AW13" t="str">
        <f>Infill[[#This Row],[SVG Link]]</f>
        <v>&lt;img alt="param_cubic" src="https://github.com/OrcaSlicer/OrcaSlicer/blob/main/resources/images/param_cubic.svg?raw=true" height="45"&gt;</v>
      </c>
      <c r="AX13" s="1" t="str">
        <f>"["&amp;Infill[[#This Row],[name]]&amp;"](strength_settings_patterns#"&amp;Infill[[#This Row],[nameMD]]&amp;")"</f>
        <v>[Cubic](strength_settings_patterns#cubic)</v>
      </c>
      <c r="AY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3" s="1" t="str">
        <f>Infill[[#This Row],[Material Usage Icon]]</f>
        <v>![level-to-worse-4](https://github.com/OrcaSlicer/OrcaSlicer_WIKI/blob/main/images/misc/level-to-worse-4.svg?raw=true)</v>
      </c>
      <c r="BA13" s="1" t="str">
        <f>Infill[[#This Row],[Print Time Icon]]</f>
        <v>![level-to-worse-3](https://github.com/OrcaSlicer/OrcaSlicer_WIKI/blob/main/images/misc/level-to-worse-3.svg?raw=true)</v>
      </c>
      <c r="BB13" t="str">
        <f ca="1">Infill[[#This Row],[Layer time Variability Icon]]</f>
        <v>![level-to-worse-2](https://github.com/OrcaSlicer/OrcaSlicer_WIKI/blob/main/images/misc/level-to-worse-2.svg?raw=true)</v>
      </c>
      <c r="BC13" s="1" t="str">
        <f>Infill[[#This Row],[Multiline]]</f>
        <v>[Classic](strength_settings_infill#classic-strategy)</v>
      </c>
    </row>
    <row r="14" spans="5:55" ht="300" x14ac:dyDescent="0.25">
      <c r="E14">
        <v>12</v>
      </c>
      <c r="F14" t="b">
        <v>1</v>
      </c>
      <c r="G14" t="b">
        <v>0</v>
      </c>
      <c r="H14" t="b">
        <v>0</v>
      </c>
      <c r="I14" t="s">
        <v>10</v>
      </c>
      <c r="J14" t="s">
        <v>4</v>
      </c>
      <c r="K14" t="s">
        <v>97</v>
      </c>
      <c r="L14" t="s">
        <v>126</v>
      </c>
      <c r="M14" t="s">
        <v>217</v>
      </c>
      <c r="N14" t="s">
        <v>216</v>
      </c>
      <c r="O14" t="inlineStr">
        <is>
          <t>No</t>
        </is>
      </c>
      <c r="P14" s="6" t="s">
        <v>58</v>
      </c>
      <c r="Q14">
        <v>5</v>
      </c>
      <c r="R14" t="str">
        <f>_xlfn.XLOOKUP(Infill[[#This Row],[XY-N]],Rating[N],Rating[Name])</f>
        <v>Normal-High</v>
      </c>
      <c r="S14" t="str">
        <f>_xlfn.XLOOKUP(Infill[[#This Row],[XY-N]],Rating[N],Rating[level-to-better])</f>
        <v>![level-to-better-5](https://github.com/OrcaSlicer/OrcaSlicer_WIKI/blob/main/images/misc/level-to-better-5.svg?raw=true)</v>
      </c>
      <c r="T14">
        <v>5</v>
      </c>
      <c r="U14" t="str">
        <f>_xlfn.XLOOKUP(Infill[[#This Row],[Z-N]],Rating[N],Rating[Name])</f>
        <v>Normal-High</v>
      </c>
      <c r="V14" t="str">
        <f>_xlfn.XLOOKUP(Infill[[#This Row],[Z-N]],Rating[N],Rating[level-to-better])</f>
        <v>![level-to-better-5](https://github.com/OrcaSlicer/OrcaSlicer_WIKI/blob/main/images/misc/level-to-better-5.svg?raw=true)</v>
      </c>
      <c r="W14" s="11">
        <f ca="1">_xlfn.XLOOKUP(Infill[[#This Row],[infill]],Tabla7[infill],Tabla7[% 2 Sigma])</f>
        <v>0.16363163436614259</v>
      </c>
      <c r="X14" t="str">
        <f ca="1">_xlfn.XLOOKUP(Infill[[#This Row],[% 2 Sigma]],AbsRating[Max %],AbsRating[Name],,1)</f>
        <v>Unnoticeable</v>
      </c>
      <c r="Y14" t="str">
        <f ca="1">_xlfn.XLOOKUP(Infill[[#This Row],[% 2 Sigma]],AbsRating[Max %],AbsRating[icon],,1)</f>
        <v>![level-to-worse-2](https://github.com/OrcaSlicer/OrcaSlicer_WIKI/blob/main/images/misc/level-to-worse-2.svg?raw=true)</v>
      </c>
      <c r="Z14" s="2" t="s">
        <v>73</v>
      </c>
      <c r="AA14">
        <f>_xlfn.XLOOKUP(Infill[[#This Row],[infill]],Tabla7[infill],Tabla7[g])</f>
        <v>95.183000000000007</v>
      </c>
      <c r="AB14" s="2">
        <f>Infill[[#This Row],[g]]/(997.25*0.15)</f>
        <v>0.63630316704270073</v>
      </c>
      <c r="AC14" s="2" t="str">
        <f>_xlfn.XLOOKUP(Infill[[#This Row],[% Effective]],Rating[Max %],Rating[Name],,1)</f>
        <v>Low</v>
      </c>
      <c r="AD14" s="2" t="str">
        <f>_xlfn.XLOOKUP(Infill[[#This Row],[% Effective]],Rating[Max %],Rating[level-to-worse],,1)</f>
        <v>![level-to-worse-2](https://github.com/OrcaSlicer/OrcaSlicer_WIKI/blob/main/images/misc/level-to-worse-2.svg?raw=true)</v>
      </c>
      <c r="AE14">
        <f>_xlfn.XLOOKUP(Infill[[#This Row],[infill]],Tabla7[infill],Tabla7[Total Time])</f>
        <v>163.452</v>
      </c>
      <c r="AF14" s="2">
        <f>Infill[[#This Row],[Total Time]]/AVERAGEIFS(Infill[Total Time],Infill[Material Usage Icon],_xlfn.XLOOKUP("Normal",Rating[Name],Rating[level-to-worse]))</f>
        <v>0.53654989760481053</v>
      </c>
      <c r="AG14" s="2" t="str">
        <f>_xlfn.XLOOKUP(Infill[[#This Row],[t prom]],Rating[Max %],Rating[Name],,1)</f>
        <v>Low</v>
      </c>
      <c r="AH14" s="2" t="str">
        <f>_xlfn.XLOOKUP(Infill[[#This Row],[t prom]],Rating[Max %],Rating[level-to-worse],,1)</f>
        <v>![level-to-worse-2](https://github.com/OrcaSlicer/OrcaSlicer_WIKI/blob/main/images/misc/level-to-worse-2.svg?raw=true)</v>
      </c>
      <c r="AI14" s="3">
        <f>Infill[[#This Row],[g]]/Infill[[#This Row],[Total Time]]</f>
        <v>0.58232998066710717</v>
      </c>
      <c r="AJ14" s="2">
        <f>Infill[[#This Row],[g/t]]/AVERAGEIFS(Infill[g/t],Infill[Material Usage Icon],_xlfn.XLOOKUP("Normal",Rating[Name],Rating[level-to-worse]))</f>
        <v>1.0688118877077886</v>
      </c>
      <c r="AK14" s="2" t="str">
        <f>_xlfn.XLOOKUP(Infill[[#This Row],[g/t prom]],Rating[Max %],Rating[Name],,1)</f>
        <v>Normal</v>
      </c>
      <c r="AL14" s="1" t="str">
        <f>_xlfn.XLOOKUP(Infill[[#This Row],[g/t prom]],Rating[Max %],Rating[level-to-better],,1)</f>
        <v>![level-to-better-4](https://github.com/OrcaSlicer/OrcaSlicer_WIKI/blob/main/images/misc/level-to-better-4.svg?raw=true)</v>
      </c>
      <c r="AM14" s="2" t="str">
        <f>SUBSTITUTE(LOWER(Infill[[#This Row],[name]])," ","-")</f>
        <v>adaptive-cubic</v>
      </c>
      <c r="AN14" t="str">
        <f>"param_"&amp;Infill[[#This Row],[infill]]</f>
        <v>param_adaptivecubic</v>
      </c>
      <c r="AO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P14" s="2" t="str">
        <f>"["&amp;Infill[[#This Row],[name]]&amp;"](#"&amp;Infill[[#This Row],[nameMD]]&amp;")"</f>
        <v>[Adaptive Cubic](#adaptive-cubic)</v>
      </c>
      <c r="AQ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![infill-top-adaptive-cubic](https://github.com/OrcaSlicer/OrcaSlicer_WIKI/blob/main/images/fill/infill-top-adaptive-cubic.png?raw=true)
</v>
      </c>
      <c r="AS14" t="str">
        <f>IF(OR(Infill[[#This Row],[Is Infill]],Infill[[#This Row],[Is Surface]])," { """&amp;Infill[[#This Row],[infill]]&amp;""", "&amp;Infill[[#This Row],[ip]]&amp;" },","")</f>
        <v xml:space="preserve"> { "adaptivecubic", ipAdaptiveCubic },</v>
      </c>
      <c r="AT14" t="str">
        <f>IF(OR(Infill[[#This Row],[Is Infill]],Infill[[#This Row],[Is Surface]]),"def-&gt;enum_values.push_back("""&amp;Infill[[#This Row],[infill]]&amp;""");","")</f>
        <v>def-&gt;enum_values.push_back("adaptivecubic");</v>
      </c>
      <c r="AU14" t="str">
        <f>IF(OR(Infill[[#This Row],[Is Infill]],Infill[[#This Row],[Is Surface]]),"def-&gt;enum_labels.push_back(L("""&amp;Infill[[#This Row],[name]]&amp;"""));","")</f>
        <v>def-&gt;enum_labels.push_back(L("Adaptive Cubic"));</v>
      </c>
      <c r="AW14" t="str">
        <f>Infill[[#This Row],[SVG Link]]</f>
        <v>&lt;img alt="param_adaptivecubic" src="https://github.com/OrcaSlicer/OrcaSlicer/blob/main/resources/images/param_adaptivecubic.svg?raw=true" height="45"&gt;</v>
      </c>
      <c r="AX14" s="1" t="str">
        <f>"["&amp;Infill[[#This Row],[name]]&amp;"](strength_settings_patterns#"&amp;Infill[[#This Row],[nameMD]]&amp;")"</f>
        <v>[Adaptive Cubic](strength_settings_patterns#adaptive-cubic)</v>
      </c>
      <c r="AY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4" s="1" t="str">
        <f>Infill[[#This Row],[Material Usage Icon]]</f>
        <v>![level-to-worse-2](https://github.com/OrcaSlicer/OrcaSlicer_WIKI/blob/main/images/misc/level-to-worse-2.svg?raw=true)</v>
      </c>
      <c r="BA14" s="1" t="str">
        <f>Infill[[#This Row],[Print Time Icon]]</f>
        <v>![level-to-worse-2](https://github.com/OrcaSlicer/OrcaSlicer_WIKI/blob/main/images/misc/level-to-worse-2.svg?raw=true)</v>
      </c>
      <c r="BB14" t="str">
        <f ca="1">Infill[[#This Row],[Layer time Variability Icon]]</f>
        <v>![level-to-worse-2](https://github.com/OrcaSlicer/OrcaSlicer_WIKI/blob/main/images/misc/level-to-worse-2.svg?raw=true)</v>
      </c>
      <c r="BC14" s="1" t="str">
        <f>Infill[[#This Row],[Multiline]]</f>
        <v>[Classic](strength_settings_infill#classic-strategy)</v>
      </c>
    </row>
    <row r="15" spans="5:55" ht="300" x14ac:dyDescent="0.25">
      <c r="E15">
        <v>13</v>
      </c>
      <c r="F15" t="b">
        <v>1</v>
      </c>
      <c r="G15" t="b">
        <v>0</v>
      </c>
      <c r="H15" t="b">
        <v>0</v>
      </c>
      <c r="I15" t="s">
        <v>38</v>
      </c>
      <c r="J15" t="s">
        <v>4</v>
      </c>
      <c r="K15" t="s">
        <v>110</v>
      </c>
      <c r="L15" t="s">
        <v>135</v>
      </c>
      <c r="M15" t="s">
        <v>217</v>
      </c>
      <c r="N15" t="s">
        <v>216</v>
      </c>
      <c r="O15" t="inlineStr">
        <is>
          <t>No</t>
        </is>
      </c>
      <c r="P15" s="6" t="s">
        <v>62</v>
      </c>
      <c r="Q15">
        <v>6</v>
      </c>
      <c r="R15" t="str">
        <f>_xlfn.XLOOKUP(Infill[[#This Row],[XY-N]],Rating[N],Rating[Name])</f>
        <v>High</v>
      </c>
      <c r="S15" t="str">
        <f>_xlfn.XLOOKUP(Infill[[#This Row],[XY-N]],Rating[N],Rating[level-to-better])</f>
        <v>![level-to-better-6](https://github.com/OrcaSlicer/OrcaSlicer_WIKI/blob/main/images/misc/level-to-better-6.svg?raw=true)</v>
      </c>
      <c r="T15">
        <v>6</v>
      </c>
      <c r="U15" t="str">
        <f>_xlfn.XLOOKUP(Infill[[#This Row],[Z-N]],Rating[N],Rating[Name])</f>
        <v>High</v>
      </c>
      <c r="V15" t="str">
        <f>_xlfn.XLOOKUP(Infill[[#This Row],[Z-N]],Rating[N],Rating[level-to-better])</f>
        <v>![level-to-better-6](https://github.com/OrcaSlicer/OrcaSlicer_WIKI/blob/main/images/misc/level-to-better-6.svg?raw=true)</v>
      </c>
      <c r="W15" s="11">
        <f ca="1">_xlfn.XLOOKUP(Infill[[#This Row],[infill]],Tabla7[infill],Tabla7[% 2 Sigma])</f>
        <v>3.4570182396706839E-2</v>
      </c>
      <c r="X15" t="str">
        <f ca="1">_xlfn.XLOOKUP(Infill[[#This Row],[% 2 Sigma]],AbsRating[Max %],AbsRating[Name],,1)</f>
        <v>Unnoticeable</v>
      </c>
      <c r="Y15" t="str">
        <f ca="1">_xlfn.XLOOKUP(Infill[[#This Row],[% 2 Sigma]],AbsRating[Max %],AbsRating[icon],,1)</f>
        <v>![level-to-worse-2](https://github.com/OrcaSlicer/OrcaSlicer_WIKI/blob/main/images/misc/level-to-worse-2.svg?raw=true)</v>
      </c>
      <c r="Z15" s="2" t="s">
        <v>72</v>
      </c>
      <c r="AA15">
        <f>_xlfn.XLOOKUP(Infill[[#This Row],[infill]],Tabla7[infill],Tabla7[g])</f>
        <v>149.02099999999999</v>
      </c>
      <c r="AB15" s="2">
        <f>Infill[[#This Row],[g]]/(997.25*0.15)</f>
        <v>0.9962129188601988</v>
      </c>
      <c r="AC15" s="2" t="str">
        <f>_xlfn.XLOOKUP(Infill[[#This Row],[% Effective]],Rating[Max %],Rating[Name],,1)</f>
        <v>Normal</v>
      </c>
      <c r="AD15" s="2" t="str">
        <f>_xlfn.XLOOKUP(Infill[[#This Row],[% Effective]],Rating[Max %],Rating[level-to-worse],,1)</f>
        <v>![level-to-worse-4](https://github.com/OrcaSlicer/OrcaSlicer_WIKI/blob/main/images/misc/level-to-worse-4.svg?raw=true)</v>
      </c>
      <c r="AE15">
        <f>_xlfn.XLOOKUP(Infill[[#This Row],[infill]],Tabla7[infill],Tabla7[Total Time])</f>
        <v>240.721</v>
      </c>
      <c r="AF15" s="2">
        <f>Infill[[#This Row],[Total Time]]/AVERAGEIFS(Infill[Total Time],Infill[Material Usage Icon],_xlfn.XLOOKUP("Normal",Rating[Name],Rating[level-to-worse]))</f>
        <v>0.79019423378929354</v>
      </c>
      <c r="AG15" s="2" t="str">
        <f>_xlfn.XLOOKUP(Infill[[#This Row],[t prom]],Rating[Max %],Rating[Name],,1)</f>
        <v>Normal-Low</v>
      </c>
      <c r="AH15" s="2" t="str">
        <f>_xlfn.XLOOKUP(Infill[[#This Row],[t prom]],Rating[Max %],Rating[level-to-worse],,1)</f>
        <v>![level-to-worse-3](https://github.com/OrcaSlicer/OrcaSlicer_WIKI/blob/main/images/misc/level-to-worse-3.svg?raw=true)</v>
      </c>
      <c r="AI15" s="3">
        <f>Infill[[#This Row],[g]]/Infill[[#This Row],[Total Time]]</f>
        <v>0.61906107070010508</v>
      </c>
      <c r="AJ15" s="2">
        <f>Infill[[#This Row],[g/t]]/AVERAGEIFS(Infill[g/t],Infill[Material Usage Icon],_xlfn.XLOOKUP("Normal",Rating[Name],Rating[level-to-worse]))</f>
        <v>1.1362283474112014</v>
      </c>
      <c r="AK15" s="2" t="str">
        <f>_xlfn.XLOOKUP(Infill[[#This Row],[g/t prom]],Rating[Max %],Rating[Name],,1)</f>
        <v>Normal-High</v>
      </c>
      <c r="AL15" s="1" t="str">
        <f>_xlfn.XLOOKUP(Infill[[#This Row],[g/t prom]],Rating[Max %],Rating[level-to-better],,1)</f>
        <v>![level-to-better-5](https://github.com/OrcaSlicer/OrcaSlicer_WIKI/blob/main/images/misc/level-to-better-5.svg?raw=true)</v>
      </c>
      <c r="AM15" s="2" t="str">
        <f>SUBSTITUTE(LOWER(Infill[[#This Row],[name]])," ","-")</f>
        <v>quarter-cubic</v>
      </c>
      <c r="AN15" t="str">
        <f>"param_"&amp;Infill[[#This Row],[infill]]</f>
        <v>param_quartercubic</v>
      </c>
      <c r="AO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P15" s="2" t="str">
        <f>"["&amp;Infill[[#This Row],[name]]&amp;"](#"&amp;Infill[[#This Row],[nameMD]]&amp;")"</f>
        <v>[Quarter Cubic](#quarter-cubic)</v>
      </c>
      <c r="AQ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![infill-top-quarter-cubic](https://github.com/OrcaSlicer/OrcaSlicer_WIKI/blob/main/images/fill/infill-top-quarter-cubic.png?raw=true)
</v>
      </c>
      <c r="AS15" t="str">
        <f>IF(OR(Infill[[#This Row],[Is Infill]],Infill[[#This Row],[Is Surface]])," { """&amp;Infill[[#This Row],[infill]]&amp;""", "&amp;Infill[[#This Row],[ip]]&amp;" },","")</f>
        <v xml:space="preserve"> { "quartercubic", ipQuarterCubic },</v>
      </c>
      <c r="AT15" t="str">
        <f>IF(OR(Infill[[#This Row],[Is Infill]],Infill[[#This Row],[Is Surface]]),"def-&gt;enum_values.push_back("""&amp;Infill[[#This Row],[infill]]&amp;""");","")</f>
        <v>def-&gt;enum_values.push_back("quartercubic");</v>
      </c>
      <c r="AU15" t="str">
        <f>IF(OR(Infill[[#This Row],[Is Infill]],Infill[[#This Row],[Is Surface]]),"def-&gt;enum_labels.push_back(L("""&amp;Infill[[#This Row],[name]]&amp;"""));","")</f>
        <v>def-&gt;enum_labels.push_back(L("Quarter Cubic"));</v>
      </c>
      <c r="AW15" t="str">
        <f>Infill[[#This Row],[SVG Link]]</f>
        <v>&lt;img alt="param_quartercubic" src="https://github.com/OrcaSlicer/OrcaSlicer/blob/main/resources/images/param_quartercubic.svg?raw=true" height="45"&gt;</v>
      </c>
      <c r="AX15" s="1" t="str">
        <f>"["&amp;Infill[[#This Row],[name]]&amp;"](strength_settings_patterns#"&amp;Infill[[#This Row],[nameMD]]&amp;")"</f>
        <v>[Quarter Cubic](strength_settings_patterns#quarter-cubic)</v>
      </c>
      <c r="AY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5" s="1" t="str">
        <f>Infill[[#This Row],[Material Usage Icon]]</f>
        <v>![level-to-worse-4](https://github.com/OrcaSlicer/OrcaSlicer_WIKI/blob/main/images/misc/level-to-worse-4.svg?raw=true)</v>
      </c>
      <c r="BA15" s="1" t="str">
        <f>Infill[[#This Row],[Print Time Icon]]</f>
        <v>![level-to-worse-3](https://github.com/OrcaSlicer/OrcaSlicer_WIKI/blob/main/images/misc/level-to-worse-3.svg?raw=true)</v>
      </c>
      <c r="BB15" t="str">
        <f ca="1">Infill[[#This Row],[Layer time Variability Icon]]</f>
        <v>![level-to-worse-2](https://github.com/OrcaSlicer/OrcaSlicer_WIKI/blob/main/images/misc/level-to-worse-2.svg?raw=true)</v>
      </c>
      <c r="BC15" s="1" t="str">
        <f>Infill[[#This Row],[Multiline]]</f>
        <v>[Classic](strength_settings_infill#classic-strategy)</v>
      </c>
    </row>
    <row r="16" spans="5:55" ht="300" x14ac:dyDescent="0.25">
      <c r="E16">
        <v>14</v>
      </c>
      <c r="F16" t="b">
        <v>1</v>
      </c>
      <c r="G16" t="b">
        <v>0</v>
      </c>
      <c r="H16" t="b">
        <v>0</v>
      </c>
      <c r="I16" t="s">
        <v>16</v>
      </c>
      <c r="J16" t="s">
        <v>156</v>
      </c>
      <c r="K16" t="s">
        <v>105</v>
      </c>
      <c r="L16" t="s">
        <v>132</v>
      </c>
      <c r="M16" t="s">
        <v>217</v>
      </c>
      <c r="N16" t="s">
        <v>216</v>
      </c>
      <c r="O16" t="inlineStr">
        <is>
          <t>No</t>
        </is>
      </c>
      <c r="P16" s="6" t="s">
        <v>61</v>
      </c>
      <c r="Q16">
        <v>2</v>
      </c>
      <c r="R16" t="str">
        <f>_xlfn.XLOOKUP(Infill[[#This Row],[XY-N]],Rating[N],Rating[Name])</f>
        <v>Low</v>
      </c>
      <c r="S16" t="str">
        <f>_xlfn.XLOOKUP(Infill[[#This Row],[XY-N]],Rating[N],Rating[level-to-better])</f>
        <v>![level-to-better-2](https://github.com/OrcaSlicer/OrcaSlicer_WIKI/blob/main/images/misc/level-to-better-2.svg?raw=true)</v>
      </c>
      <c r="T16">
        <v>2</v>
      </c>
      <c r="U16" t="str">
        <f>_xlfn.XLOOKUP(Infill[[#This Row],[Z-N]],Rating[N],Rating[Name])</f>
        <v>Low</v>
      </c>
      <c r="V16" t="str">
        <f>_xlfn.XLOOKUP(Infill[[#This Row],[Z-N]],Rating[N],Rating[level-to-better])</f>
        <v>![level-to-better-2](https://github.com/OrcaSlicer/OrcaSlicer_WIKI/blob/main/images/misc/level-to-better-2.svg?raw=true)</v>
      </c>
      <c r="W16" s="11">
        <f ca="1">_xlfn.XLOOKUP(Infill[[#This Row],[infill]],Tabla7[infill],Tabla7[% 2 Sigma])</f>
        <v>0.92158266936179833</v>
      </c>
      <c r="X16" t="str">
        <f ca="1">_xlfn.XLOOKUP(Infill[[#This Row],[% 2 Sigma]],AbsRating[Max %],AbsRating[Name],,1)</f>
        <v>Likely Noticeable</v>
      </c>
      <c r="Y16" t="str">
        <f ca="1">_xlfn.XLOOKUP(Infill[[#This Row],[% 2 Sigma]],AbsRating[Max %],AbsRating[icon],,1)</f>
        <v>![level-to-worse-8](https://github.com/OrcaSlicer/OrcaSlicer_WIKI/blob/main/images/misc/level-to-worse-8.svg?raw=true)</v>
      </c>
      <c r="Z16" s="2" t="s">
        <v>74</v>
      </c>
      <c r="AA16">
        <f>_xlfn.XLOOKUP(Infill[[#This Row],[infill]],Tabla7[infill],Tabla7[g])</f>
        <v>38.832999999999998</v>
      </c>
      <c r="AB16" s="2">
        <f>Infill[[#This Row],[g]]/(997.25*0.15)</f>
        <v>0.25960056822929722</v>
      </c>
      <c r="AC16" s="2" t="str">
        <f>_xlfn.XLOOKUP(Infill[[#This Row],[% Effective]],Rating[Max %],Rating[Name],,1)</f>
        <v>Extra-Low</v>
      </c>
      <c r="AD16" s="2" t="str">
        <f>_xlfn.XLOOKUP(Infill[[#This Row],[% Effective]],Rating[Max %],Rating[level-to-worse],,1)</f>
        <v>![level-to-worse-1](https://github.com/OrcaSlicer/OrcaSlicer_WIKI/blob/main/images/misc/level-to-worse-1.svg?raw=true)</v>
      </c>
      <c r="AE16">
        <f>_xlfn.XLOOKUP(Infill[[#This Row],[infill]],Tabla7[infill],Tabla7[Total Time])</f>
        <v>96.709000000000003</v>
      </c>
      <c r="AF16" s="2">
        <f>Infill[[#This Row],[Total Time]]/AVERAGEIFS(Infill[Total Time],Infill[Material Usage Icon],_xlfn.XLOOKUP("Normal",Rating[Name],Rating[level-to-worse]))</f>
        <v>0.31745836115473425</v>
      </c>
      <c r="AG16" s="2" t="str">
        <f>_xlfn.XLOOKUP(Infill[[#This Row],[t prom]],Rating[Max %],Rating[Name],,1)</f>
        <v>Extra-Low</v>
      </c>
      <c r="AH16" s="2" t="str">
        <f>_xlfn.XLOOKUP(Infill[[#This Row],[t prom]],Rating[Max %],Rating[level-to-worse],,1)</f>
        <v>![level-to-worse-1](https://github.com/OrcaSlicer/OrcaSlicer_WIKI/blob/main/images/misc/level-to-worse-1.svg?raw=true)</v>
      </c>
      <c r="AI16" s="3">
        <f>Infill[[#This Row],[g]]/Infill[[#This Row],[Total Time]]</f>
        <v>0.40154484070769003</v>
      </c>
      <c r="AJ16" s="2">
        <f>Infill[[#This Row],[g/t]]/AVERAGEIFS(Infill[g/t],Infill[Material Usage Icon],_xlfn.XLOOKUP("Normal",Rating[Name],Rating[level-to-worse]))</f>
        <v>0.73699777350369799</v>
      </c>
      <c r="AK16" s="2" t="str">
        <f>_xlfn.XLOOKUP(Infill[[#This Row],[g/t prom]],Rating[Max %],Rating[Name],,1)</f>
        <v>Low</v>
      </c>
      <c r="AL16" s="1" t="str">
        <f>_xlfn.XLOOKUP(Infill[[#This Row],[g/t prom]],Rating[Max %],Rating[level-to-better],,1)</f>
        <v>![level-to-better-2](https://github.com/OrcaSlicer/OrcaSlicer_WIKI/blob/main/images/misc/level-to-better-2.svg?raw=true)</v>
      </c>
      <c r="AM16" s="2" t="str">
        <f>SUBSTITUTE(LOWER(Infill[[#This Row],[name]])," ","-")</f>
        <v>support-cubic</v>
      </c>
      <c r="AN16" t="str">
        <f>"param_"&amp;Infill[[#This Row],[infill]]</f>
        <v>param_supportcubic</v>
      </c>
      <c r="AO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P16" s="2" t="str">
        <f>"["&amp;Infill[[#This Row],[name]]&amp;"](#"&amp;Infill[[#This Row],[nameMD]]&amp;")"</f>
        <v>[Support Cubic](#support-cubic)</v>
      </c>
      <c r="AQ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![infill-top-support-cubic](https://github.com/OrcaSlicer/OrcaSlicer_WIKI/blob/main/images/fill/infill-top-support-cubic.png?raw=true)
</v>
      </c>
      <c r="AS16" t="str">
        <f>IF(OR(Infill[[#This Row],[Is Infill]],Infill[[#This Row],[Is Surface]])," { """&amp;Infill[[#This Row],[infill]]&amp;""", "&amp;Infill[[#This Row],[ip]]&amp;" },","")</f>
        <v xml:space="preserve"> { "supportcubic", ipSupportCubic },</v>
      </c>
      <c r="AT16" t="str">
        <f>IF(OR(Infill[[#This Row],[Is Infill]],Infill[[#This Row],[Is Surface]]),"def-&gt;enum_values.push_back("""&amp;Infill[[#This Row],[infill]]&amp;""");","")</f>
        <v>def-&gt;enum_values.push_back("supportcubic");</v>
      </c>
      <c r="AU16" t="str">
        <f>IF(OR(Infill[[#This Row],[Is Infill]],Infill[[#This Row],[Is Surface]]),"def-&gt;enum_labels.push_back(L("""&amp;Infill[[#This Row],[name]]&amp;"""));","")</f>
        <v>def-&gt;enum_labels.push_back(L("Support Cubic"));</v>
      </c>
      <c r="AW16" t="str">
        <f>Infill[[#This Row],[SVG Link]]</f>
        <v>&lt;img alt="param_supportcubic" src="https://github.com/OrcaSlicer/OrcaSlicer/blob/main/resources/images/param_supportcubic.svg?raw=true" height="45"&gt;</v>
      </c>
      <c r="AX16" s="1" t="str">
        <f>"["&amp;Infill[[#This Row],[name]]&amp;"](strength_settings_patterns#"&amp;Infill[[#This Row],[nameMD]]&amp;")"</f>
        <v>[Support Cubic](strength_settings_patterns#support-cubic)</v>
      </c>
      <c r="AY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6" s="1" t="str">
        <f>Infill[[#This Row],[Material Usage Icon]]</f>
        <v>![level-to-worse-1](https://github.com/OrcaSlicer/OrcaSlicer_WIKI/blob/main/images/misc/level-to-worse-1.svg?raw=true)</v>
      </c>
      <c r="BA16" s="1" t="str">
        <f>Infill[[#This Row],[Print Time Icon]]</f>
        <v>![level-to-worse-1](https://github.com/OrcaSlicer/OrcaSlicer_WIKI/blob/main/images/misc/level-to-worse-1.svg?raw=true)</v>
      </c>
      <c r="BB16" t="str">
        <f ca="1">Infill[[#This Row],[Layer time Variability Icon]]</f>
        <v>![level-to-worse-8](https://github.com/OrcaSlicer/OrcaSlicer_WIKI/blob/main/images/misc/level-to-worse-8.svg?raw=true)</v>
      </c>
      <c r="BC16" s="1" t="str">
        <f>Infill[[#This Row],[Multiline]]</f>
        <v>[Classic](strength_settings_infill#classic-strategy)</v>
      </c>
    </row>
    <row r="17" spans="5:55" ht="409.5" x14ac:dyDescent="0.25">
      <c r="E17">
        <v>15</v>
      </c>
      <c r="F17" t="b">
        <v>1</v>
      </c>
      <c r="G17" t="b">
        <v>0</v>
      </c>
      <c r="H17" t="b">
        <v>0</v>
      </c>
      <c r="I17" t="s">
        <v>17</v>
      </c>
      <c r="J17" t="s">
        <v>153</v>
      </c>
      <c r="K17" t="s">
        <v>108</v>
      </c>
      <c r="L17" t="s">
        <v>133</v>
      </c>
      <c r="M17" t="s">
        <v>217</v>
      </c>
      <c r="N17" t="s">
        <v>216</v>
      </c>
      <c r="O17" t="inlineStr">
        <is>
          <t>Yes</t>
        </is>
      </c>
      <c r="P17" s="6" t="s">
        <v>245</v>
      </c>
      <c r="Q17">
        <v>2</v>
      </c>
      <c r="R17" t="str">
        <f>_xlfn.XLOOKUP(Infill[[#This Row],[XY-N]],Rating[N],Rating[Name])</f>
        <v>Low</v>
      </c>
      <c r="S17" t="str">
        <f>_xlfn.XLOOKUP(Infill[[#This Row],[XY-N]],Rating[N],Rating[level-to-better])</f>
        <v>![level-to-better-2](https://github.com/OrcaSlicer/OrcaSlicer_WIKI/blob/main/images/misc/level-to-better-2.svg?raw=true)</v>
      </c>
      <c r="T17">
        <v>2</v>
      </c>
      <c r="U17" t="str">
        <f>_xlfn.XLOOKUP(Infill[[#This Row],[Z-N]],Rating[N],Rating[Name])</f>
        <v>Low</v>
      </c>
      <c r="V17" t="str">
        <f>_xlfn.XLOOKUP(Infill[[#This Row],[Z-N]],Rating[N],Rating[level-to-better])</f>
        <v>![level-to-better-2](https://github.com/OrcaSlicer/OrcaSlicer_WIKI/blob/main/images/misc/level-to-better-2.svg?raw=true)</v>
      </c>
      <c r="W17" s="11">
        <f ca="1">_xlfn.XLOOKUP(Infill[[#This Row],[infill]],Tabla7[infill],Tabla7[% 2 Sigma])</f>
        <v>2.4741123157182763</v>
      </c>
      <c r="X17" t="str">
        <f ca="1">_xlfn.XLOOKUP(Infill[[#This Row],[% 2 Sigma]],AbsRating[Max %],AbsRating[Name],,1)</f>
        <v>Likely Noticeable</v>
      </c>
      <c r="Y17" t="str">
        <f ca="1">_xlfn.XLOOKUP(Infill[[#This Row],[% 2 Sigma]],AbsRating[Max %],AbsRating[icon],,1)</f>
        <v>![level-to-worse-8](https://github.com/OrcaSlicer/OrcaSlicer_WIKI/blob/main/images/misc/level-to-worse-8.svg?raw=true)</v>
      </c>
      <c r="Z17" s="2" t="s">
        <v>74</v>
      </c>
      <c r="AA17">
        <f>_xlfn.XLOOKUP(Infill[[#This Row],[infill]],Tabla7[infill],Tabla7[g])</f>
        <v>17.704999999999998</v>
      </c>
      <c r="AB17" s="2">
        <f>Infill[[#This Row],[g]]/(997.25*0.15)</f>
        <v>0.1183588200885769</v>
      </c>
      <c r="AC17" s="2" t="str">
        <f>_xlfn.XLOOKUP(Infill[[#This Row],[% Effective]],Rating[Max %],Rating[Name],,1)</f>
        <v>Ultra-Low</v>
      </c>
      <c r="AD17" s="2" t="str">
        <f>_xlfn.XLOOKUP(Infill[[#This Row],[% Effective]],Rating[Max %],Rating[level-to-worse],,1)</f>
        <v>![level-to-worse-0](https://github.com/OrcaSlicer/OrcaSlicer_WIKI/blob/main/images/misc/level-to-worse-0.svg?raw=true)</v>
      </c>
      <c r="AE17">
        <f>_xlfn.XLOOKUP(Infill[[#This Row],[infill]],Tabla7[infill],Tabla7[Total Time])</f>
        <v>37.844999999999999</v>
      </c>
      <c r="AF17" s="2">
        <f>Infill[[#This Row],[Total Time]]/AVERAGEIFS(Infill[Total Time],Infill[Material Usage Icon],_xlfn.XLOOKUP("Normal",Rating[Name],Rating[level-to-worse]))</f>
        <v>0.1242305439814383</v>
      </c>
      <c r="AG17" s="2" t="str">
        <f>_xlfn.XLOOKUP(Infill[[#This Row],[t prom]],Rating[Max %],Rating[Name],,1)</f>
        <v>Ultra-Low</v>
      </c>
      <c r="AH17" s="2" t="str">
        <f>_xlfn.XLOOKUP(Infill[[#This Row],[t prom]],Rating[Max %],Rating[level-to-worse],,1)</f>
        <v>![level-to-worse-0](https://github.com/OrcaSlicer/OrcaSlicer_WIKI/blob/main/images/misc/level-to-worse-0.svg?raw=true)</v>
      </c>
      <c r="AI17" s="3">
        <f>Infill[[#This Row],[g]]/Infill[[#This Row],[Total Time]]</f>
        <v>0.46782930373893511</v>
      </c>
      <c r="AJ17" s="2">
        <f>Infill[[#This Row],[g/t]]/AVERAGEIFS(Infill[g/t],Infill[Material Usage Icon],_xlfn.XLOOKUP("Normal",Rating[Name],Rating[level-to-worse]))</f>
        <v>0.85865666864930368</v>
      </c>
      <c r="AK17" s="2" t="str">
        <f>_xlfn.XLOOKUP(Infill[[#This Row],[g/t prom]],Rating[Max %],Rating[Name],,1)</f>
        <v>Normal-Low</v>
      </c>
      <c r="AL17" s="1" t="str">
        <f>_xlfn.XLOOKUP(Infill[[#This Row],[g/t prom]],Rating[Max %],Rating[level-to-better],,1)</f>
        <v>![level-to-better-3](https://github.com/OrcaSlicer/OrcaSlicer_WIKI/blob/main/images/misc/level-to-better-3.svg?raw=true)</v>
      </c>
      <c r="AM17" s="2" t="str">
        <f>SUBSTITUTE(LOWER(Infill[[#This Row],[name]])," ","-")</f>
        <v>lightning</v>
      </c>
      <c r="AN17" t="str">
        <f>"param_"&amp;Infill[[#This Row],[infill]]</f>
        <v>param_lightning</v>
      </c>
      <c r="AO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P17" s="2" t="str">
        <f>"["&amp;Infill[[#This Row],[name]]&amp;"](#"&amp;Infill[[#This Row],[nameMD]]&amp;")"</f>
        <v>[Lightning](#lightning)</v>
      </c>
      <c r="AQ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Overhang Angle
Similar to the [overhang](quality_settings_overhangs) angle used for support generation, but specifically for Lightning infill.  
It determines how far the infill can extend from walls before needing support.
### Prune Angle
Controls how aggressively short/unsupported branches of the Lightning infill are pruned.  
A lower angle will result in more pruning, while a higher angle will allow for more unsupported branches.
### Straightening Angle
Limits how far junctions in the Lightning infill can be moved to straighten lines.  
Using a low value will result in a low lateral distortion between layers, but may cause more pruning.  
A higher value will allow for more straightening, improving strength but increasing lateral distortion.
![infill-top-lightning-straightening](https://github.com/OrcaSlicer/OrcaSlicer_WIKI/blob/main/images/fill/infill-top-lightning-straightening.png?raw=true)  
![infill-top-front-lightning-straightening](https://github.com/OrcaSlicer/OrcaSlicer_WIKI/blob/main/images/fill/infill-top-front-lightning-straightening.png?raw=true)  
![infill-front-lightning-straightening](https://github.com/OrcaSlicer/OrcaSlicer_WIKI/blob/main/images/fill/infill-front-lightning-straightening.png?raw=true)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![infill-top-lightning](https://github.com/OrcaSlicer/OrcaSlicer_WIKI/blob/main/images/fill/infill-top-lightning.png?raw=true)
</v>
      </c>
      <c r="AS17" t="str">
        <f>IF(OR(Infill[[#This Row],[Is Infill]],Infill[[#This Row],[Is Surface]])," { """&amp;Infill[[#This Row],[infill]]&amp;""", "&amp;Infill[[#This Row],[ip]]&amp;" },","")</f>
        <v xml:space="preserve"> { "lightning", ipLightning },</v>
      </c>
      <c r="AT17" t="str">
        <f>IF(OR(Infill[[#This Row],[Is Infill]],Infill[[#This Row],[Is Surface]]),"def-&gt;enum_values.push_back("""&amp;Infill[[#This Row],[infill]]&amp;""");","")</f>
        <v>def-&gt;enum_values.push_back("lightning");</v>
      </c>
      <c r="AU17" t="str">
        <f>IF(OR(Infill[[#This Row],[Is Infill]],Infill[[#This Row],[Is Surface]]),"def-&gt;enum_labels.push_back(L("""&amp;Infill[[#This Row],[name]]&amp;"""));","")</f>
        <v>def-&gt;enum_labels.push_back(L("Lightning"));</v>
      </c>
      <c r="AW17" t="str">
        <f>Infill[[#This Row],[SVG Link]]</f>
        <v>&lt;img alt="param_lightning" src="https://github.com/OrcaSlicer/OrcaSlicer/blob/main/resources/images/param_lightning.svg?raw=true" height="45"&gt;</v>
      </c>
      <c r="AX17" s="1" t="str">
        <f>"["&amp;Infill[[#This Row],[name]]&amp;"](strength_settings_patterns#"&amp;Infill[[#This Row],[nameMD]]&amp;")"</f>
        <v>[Lightning](strength_settings_patterns#lightning)</v>
      </c>
      <c r="AY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Z17" s="1" t="str">
        <f>Infill[[#This Row],[Material Usage Icon]]</f>
        <v>![level-to-worse-0](https://github.com/OrcaSlicer/OrcaSlicer_WIKI/blob/main/images/misc/level-to-worse-0.svg?raw=true)</v>
      </c>
      <c r="BA17" s="1" t="str">
        <f>Infill[[#This Row],[Print Time Icon]]</f>
        <v>![level-to-worse-0](https://github.com/OrcaSlicer/OrcaSlicer_WIKI/blob/main/images/misc/level-to-worse-0.svg?raw=true)</v>
      </c>
      <c r="BB17" t="str">
        <f ca="1">Infill[[#This Row],[Layer time Variability Icon]]</f>
        <v>![level-to-worse-8](https://github.com/OrcaSlicer/OrcaSlicer_WIKI/blob/main/images/misc/level-to-worse-8.svg?raw=true)</v>
      </c>
      <c r="BC17" s="1" t="str">
        <f>Infill[[#This Row],[Multiline]]</f>
        <v>[Classic](strength_settings_infill#classic-strategy)</v>
      </c>
    </row>
    <row r="18" spans="5:55" ht="300" x14ac:dyDescent="0.25">
      <c r="E18">
        <v>16</v>
      </c>
      <c r="F18" t="b">
        <v>1</v>
      </c>
      <c r="G18" t="b">
        <v>0</v>
      </c>
      <c r="H18" t="b">
        <v>0</v>
      </c>
      <c r="I18" t="s">
        <v>9</v>
      </c>
      <c r="J18" t="s">
        <v>9</v>
      </c>
      <c r="K18" t="s">
        <v>96</v>
      </c>
      <c r="L18" t="s">
        <v>125</v>
      </c>
      <c r="M18" t="s">
        <v>218</v>
      </c>
      <c r="N18" t="s">
        <v>216</v>
      </c>
      <c r="O18" t="inlineStr">
        <is>
          <t>Yes</t>
        </is>
      </c>
      <c r="P18" s="6" t="s">
        <v>57</v>
      </c>
      <c r="Q18">
        <v>6</v>
      </c>
      <c r="R18" t="str">
        <f>_xlfn.XLOOKUP(Infill[[#This Row],[XY-N]],Rating[N],Rating[Name])</f>
        <v>High</v>
      </c>
      <c r="S18" t="str">
        <f>_xlfn.XLOOKUP(Infill[[#This Row],[XY-N]],Rating[N],Rating[level-to-better])</f>
        <v>![level-to-better-6](https://github.com/OrcaSlicer/OrcaSlicer_WIKI/blob/main/images/misc/level-to-better-6.svg?raw=true)</v>
      </c>
      <c r="T18">
        <v>6</v>
      </c>
      <c r="U18" t="str">
        <f>_xlfn.XLOOKUP(Infill[[#This Row],[Z-N]],Rating[N],Rating[Name])</f>
        <v>High</v>
      </c>
      <c r="V18" t="str">
        <f>_xlfn.XLOOKUP(Infill[[#This Row],[Z-N]],Rating[N],Rating[level-to-better])</f>
        <v>![level-to-better-6](https://github.com/OrcaSlicer/OrcaSlicer_WIKI/blob/main/images/misc/level-to-better-6.svg?raw=true)</v>
      </c>
      <c r="W18" s="11">
        <f ca="1">_xlfn.XLOOKUP(Infill[[#This Row],[infill]],Tabla7[infill],Tabla7[% 2 Sigma])</f>
        <v>4.1996929458678611E-3</v>
      </c>
      <c r="X18" t="str">
        <f ca="1">_xlfn.XLOOKUP(Infill[[#This Row],[% 2 Sigma]],AbsRating[Max %],AbsRating[Name],,1)</f>
        <v>None</v>
      </c>
      <c r="Y18" t="str">
        <f ca="1">_xlfn.XLOOKUP(Infill[[#This Row],[% 2 Sigma]],AbsRating[Max %],AbsRating[icon],,1)</f>
        <v>![level-to-worse-0](https://github.com/OrcaSlicer/OrcaSlicer_WIKI/blob/main/images/misc/level-to-worse-0.svg?raw=true)</v>
      </c>
      <c r="Z18" s="2" t="s">
        <v>72</v>
      </c>
      <c r="AA18">
        <f>_xlfn.XLOOKUP(Infill[[#This Row],[infill]],Tabla7[infill],Tabla7[g])</f>
        <v>191.24700000000001</v>
      </c>
      <c r="AB18" s="2">
        <f>Infill[[#This Row],[g]]/(997.25*0.15)</f>
        <v>1.2784958636249688</v>
      </c>
      <c r="AC18" s="2" t="str">
        <f>_xlfn.XLOOKUP(Infill[[#This Row],[% Effective]],Rating[Max %],Rating[Name],,1)</f>
        <v>High</v>
      </c>
      <c r="AD18" s="2" t="str">
        <f>_xlfn.XLOOKUP(Infill[[#This Row],[% Effective]],Rating[Max %],Rating[level-to-worse],,1)</f>
        <v>![level-to-worse-6](https://github.com/OrcaSlicer/OrcaSlicer_WIKI/blob/main/images/misc/level-to-worse-6.svg?raw=true)</v>
      </c>
      <c r="AE18">
        <f>_xlfn.XLOOKUP(Infill[[#This Row],[infill]],Tabla7[infill],Tabla7[Total Time])</f>
        <v>682.74400000000003</v>
      </c>
      <c r="AF18" s="2">
        <f>Infill[[#This Row],[Total Time]]/AVERAGEIFS(Infill[Total Time],Infill[Material Usage Icon],_xlfn.XLOOKUP("Normal",Rating[Name],Rating[level-to-worse]))</f>
        <v>2.2411853222371021</v>
      </c>
      <c r="AG18" s="2" t="str">
        <f>_xlfn.XLOOKUP(Infill[[#This Row],[t prom]],Rating[Max %],Rating[Name],,1)</f>
        <v>Ultra-High</v>
      </c>
      <c r="AH18" s="2" t="str">
        <f>_xlfn.XLOOKUP(Infill[[#This Row],[t prom]],Rating[Max %],Rating[level-to-worse],,1)</f>
        <v>![level-to-worse-8](https://github.com/OrcaSlicer/OrcaSlicer_WIKI/blob/main/images/misc/level-to-worse-8.svg?raw=true)</v>
      </c>
      <c r="AI18" s="3">
        <f>Infill[[#This Row],[g]]/Infill[[#This Row],[Total Time]]</f>
        <v>0.28011524085162226</v>
      </c>
      <c r="AJ18" s="2">
        <f>Infill[[#This Row],[g/t]]/AVERAGEIFS(Infill[g/t],Infill[Material Usage Icon],_xlfn.XLOOKUP("Normal",Rating[Name],Rating[level-to-worse]))</f>
        <v>0.51412516835792599</v>
      </c>
      <c r="AK18" s="2" t="str">
        <f>_xlfn.XLOOKUP(Infill[[#This Row],[g/t prom]],Rating[Max %],Rating[Name],,1)</f>
        <v>Low</v>
      </c>
      <c r="AL18" s="1" t="str">
        <f>_xlfn.XLOOKUP(Infill[[#This Row],[g/t prom]],Rating[Max %],Rating[level-to-better],,1)</f>
        <v>![level-to-better-2](https://github.com/OrcaSlicer/OrcaSlicer_WIKI/blob/main/images/misc/level-to-better-2.svg?raw=true)</v>
      </c>
      <c r="AM18" s="2" t="str">
        <f>SUBSTITUTE(LOWER(Infill[[#This Row],[name]])," ","-")</f>
        <v>honeycomb</v>
      </c>
      <c r="AN18" t="str">
        <f>"param_"&amp;Infill[[#This Row],[infill]]</f>
        <v>param_honeycomb</v>
      </c>
      <c r="AO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P18" s="2" t="str">
        <f>"["&amp;Infill[[#This Row],[name]]&amp;"](#"&amp;Infill[[#This Row],[nameMD]]&amp;")"</f>
        <v>[Honeycomb](#honeycomb)</v>
      </c>
      <c r="AQ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![infill-top-honeycomb](https://github.com/OrcaSlicer/OrcaSlicer_WIKI/blob/main/images/fill/infill-top-honeycomb.png?raw=true)
</v>
      </c>
      <c r="AS18" t="str">
        <f>IF(OR(Infill[[#This Row],[Is Infill]],Infill[[#This Row],[Is Surface]])," { """&amp;Infill[[#This Row],[infill]]&amp;""", "&amp;Infill[[#This Row],[ip]]&amp;" },","")</f>
        <v xml:space="preserve"> { "honeycomb", ipHoneycomb },</v>
      </c>
      <c r="AT18" t="str">
        <f>IF(OR(Infill[[#This Row],[Is Infill]],Infill[[#This Row],[Is Surface]]),"def-&gt;enum_values.push_back("""&amp;Infill[[#This Row],[infill]]&amp;""");","")</f>
        <v>def-&gt;enum_values.push_back("honeycomb");</v>
      </c>
      <c r="AU18" t="str">
        <f>IF(OR(Infill[[#This Row],[Is Infill]],Infill[[#This Row],[Is Surface]]),"def-&gt;enum_labels.push_back(L("""&amp;Infill[[#This Row],[name]]&amp;"""));","")</f>
        <v>def-&gt;enum_labels.push_back(L("Honeycomb"));</v>
      </c>
      <c r="AW18" t="str">
        <f>Infill[[#This Row],[SVG Link]]</f>
        <v>&lt;img alt="param_honeycomb" src="https://github.com/OrcaSlicer/OrcaSlicer/blob/main/resources/images/param_honeycomb.svg?raw=true" height="45"&gt;</v>
      </c>
      <c r="AX18" s="1" t="str">
        <f>"["&amp;Infill[[#This Row],[name]]&amp;"](strength_settings_patterns#"&amp;Infill[[#This Row],[nameMD]]&amp;")"</f>
        <v>[Honeycomb](strength_settings_patterns#honeycomb)</v>
      </c>
      <c r="AY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18" s="1" t="str">
        <f>Infill[[#This Row],[Material Usage Icon]]</f>
        <v>![level-to-worse-6](https://github.com/OrcaSlicer/OrcaSlicer_WIKI/blob/main/images/misc/level-to-worse-6.svg?raw=true)</v>
      </c>
      <c r="BA18" s="1" t="str">
        <f>Infill[[#This Row],[Print Time Icon]]</f>
        <v>![level-to-worse-8](https://github.com/OrcaSlicer/OrcaSlicer_WIKI/blob/main/images/misc/level-to-worse-8.svg?raw=true)</v>
      </c>
      <c r="BB18" t="str">
        <f ca="1">Infill[[#This Row],[Layer time Variability Icon]]</f>
        <v>![level-to-worse-0](https://github.com/OrcaSlicer/OrcaSlicer_WIKI/blob/main/images/misc/level-to-worse-0.svg?raw=true)</v>
      </c>
      <c r="BC18" s="1" t="str">
        <f>Infill[[#This Row],[Multiline]]</f>
        <v>[Non-Crossing](strength_settings_infill#non-crossing-strategy)</v>
      </c>
    </row>
    <row r="19" spans="5:55" ht="300" x14ac:dyDescent="0.25">
      <c r="E19">
        <v>17</v>
      </c>
      <c r="F19" t="b">
        <v>1</v>
      </c>
      <c r="G19" t="b">
        <v>0</v>
      </c>
      <c r="H19" t="b">
        <v>0</v>
      </c>
      <c r="I19" t="s">
        <v>12</v>
      </c>
      <c r="J19" t="s">
        <v>9</v>
      </c>
      <c r="K19" t="s">
        <v>101</v>
      </c>
      <c r="L19" t="s">
        <v>128</v>
      </c>
      <c r="M19" t="s">
        <v>217</v>
      </c>
      <c r="N19" t="s">
        <v>216</v>
      </c>
      <c r="O19" t="inlineStr">
        <is>
          <t>Yes</t>
        </is>
      </c>
      <c r="P19" s="6" t="s">
        <v>83</v>
      </c>
      <c r="Q19">
        <v>5</v>
      </c>
      <c r="R19" t="str">
        <f>_xlfn.XLOOKUP(Infill[[#This Row],[XY-N]],Rating[N],Rating[Name])</f>
        <v>Normal-High</v>
      </c>
      <c r="S19" t="str">
        <f>_xlfn.XLOOKUP(Infill[[#This Row],[XY-N]],Rating[N],Rating[level-to-better])</f>
        <v>![level-to-better-5](https://github.com/OrcaSlicer/OrcaSlicer_WIKI/blob/main/images/misc/level-to-better-5.svg?raw=true)</v>
      </c>
      <c r="T19">
        <v>5</v>
      </c>
      <c r="U19" t="str">
        <f>_xlfn.XLOOKUP(Infill[[#This Row],[Z-N]],Rating[N],Rating[Name])</f>
        <v>Normal-High</v>
      </c>
      <c r="V19" t="str">
        <f>_xlfn.XLOOKUP(Infill[[#This Row],[Z-N]],Rating[N],Rating[level-to-better])</f>
        <v>![level-to-better-5](https://github.com/OrcaSlicer/OrcaSlicer_WIKI/blob/main/images/misc/level-to-better-5.svg?raw=true)</v>
      </c>
      <c r="W19" s="11">
        <f ca="1">_xlfn.XLOOKUP(Infill[[#This Row],[infill]],Tabla7[infill],Tabla7[% 2 Sigma])</f>
        <v>0.42107547246088983</v>
      </c>
      <c r="X19" t="str">
        <f ca="1">_xlfn.XLOOKUP(Infill[[#This Row],[% 2 Sigma]],AbsRating[Max %],AbsRating[Name],,1)</f>
        <v>Possibly Noticeable</v>
      </c>
      <c r="Y19" t="str">
        <f ca="1">_xlfn.XLOOKUP(Infill[[#This Row],[% 2 Sigma]],AbsRating[Max %],AbsRating[icon],,1)</f>
        <v>![level-to-worse-5](https://github.com/OrcaSlicer/OrcaSlicer_WIKI/blob/main/images/misc/level-to-worse-5.svg?raw=true)</v>
      </c>
      <c r="Z19" s="2" t="s">
        <v>50</v>
      </c>
      <c r="AA19">
        <f>_xlfn.XLOOKUP(Infill[[#This Row],[infill]],Tabla7[infill],Tabla7[g])</f>
        <v>124.437</v>
      </c>
      <c r="AB19" s="2">
        <f>Infill[[#This Row],[g]]/(997.25*0.15)</f>
        <v>0.83186763599899716</v>
      </c>
      <c r="AC19" s="2" t="str">
        <f>_xlfn.XLOOKUP(Infill[[#This Row],[% Effective]],Rating[Max %],Rating[Name],,1)</f>
        <v>Normal-Low</v>
      </c>
      <c r="AD19" s="2" t="str">
        <f>_xlfn.XLOOKUP(Infill[[#This Row],[% Effective]],Rating[Max %],Rating[level-to-worse],,1)</f>
        <v>![level-to-worse-3](https://github.com/OrcaSlicer/OrcaSlicer_WIKI/blob/main/images/misc/level-to-worse-3.svg?raw=true)</v>
      </c>
      <c r="AE19">
        <f>_xlfn.XLOOKUP(Infill[[#This Row],[infill]],Tabla7[infill],Tabla7[Total Time])</f>
        <v>490.12200000000001</v>
      </c>
      <c r="AF19" s="2">
        <f>Infill[[#This Row],[Total Time]]/AVERAGEIFS(Infill[Total Time],Infill[Material Usage Icon],_xlfn.XLOOKUP("Normal",Rating[Name],Rating[level-to-worse]))</f>
        <v>1.6088815610323823</v>
      </c>
      <c r="AG19" s="2" t="str">
        <f>_xlfn.XLOOKUP(Infill[[#This Row],[t prom]],Rating[Max %],Rating[Name],,1)</f>
        <v>Extra-High</v>
      </c>
      <c r="AH19" s="2" t="str">
        <f>_xlfn.XLOOKUP(Infill[[#This Row],[t prom]],Rating[Max %],Rating[level-to-worse],,1)</f>
        <v>![level-to-worse-7](https://github.com/OrcaSlicer/OrcaSlicer_WIKI/blob/main/images/misc/level-to-worse-7.svg?raw=true)</v>
      </c>
      <c r="AI19" s="3">
        <f>Infill[[#This Row],[g]]/Infill[[#This Row],[Total Time]]</f>
        <v>0.25388984783380464</v>
      </c>
      <c r="AJ19" s="2">
        <f>Infill[[#This Row],[g/t]]/AVERAGEIFS(Infill[g/t],Infill[Material Usage Icon],_xlfn.XLOOKUP("Normal",Rating[Name],Rating[level-to-worse]))</f>
        <v>0.46599092703801037</v>
      </c>
      <c r="AK19" s="2" t="str">
        <f>_xlfn.XLOOKUP(Infill[[#This Row],[g/t prom]],Rating[Max %],Rating[Name],,1)</f>
        <v>Low</v>
      </c>
      <c r="AL19" s="1" t="str">
        <f>_xlfn.XLOOKUP(Infill[[#This Row],[g/t prom]],Rating[Max %],Rating[level-to-better],,1)</f>
        <v>![level-to-better-2](https://github.com/OrcaSlicer/OrcaSlicer_WIKI/blob/main/images/misc/level-to-better-2.svg?raw=true)</v>
      </c>
      <c r="AM19" s="2" t="str">
        <f>SUBSTITUTE(LOWER(Infill[[#This Row],[name]])," ","-")</f>
        <v>3d-honeycomb</v>
      </c>
      <c r="AN19" t="str">
        <f>"param_"&amp;Infill[[#This Row],[infill]]</f>
        <v>param_3dhoneycomb</v>
      </c>
      <c r="AO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P19" s="2" t="str">
        <f>"["&amp;Infill[[#This Row],[name]]&amp;"](#"&amp;Infill[[#This Row],[nameMD]]&amp;")"</f>
        <v>[3D Honeycomb](#3d-honeycomb)</v>
      </c>
      <c r="AQ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![infill-top-3d-honeycomb](https://github.com/OrcaSlicer/OrcaSlicer_WIKI/blob/main/images/fill/infill-top-3d-honeycomb.png?raw=true)
</v>
      </c>
      <c r="AS19" t="str">
        <f>IF(OR(Infill[[#This Row],[Is Infill]],Infill[[#This Row],[Is Surface]])," { """&amp;Infill[[#This Row],[infill]]&amp;""", "&amp;Infill[[#This Row],[ip]]&amp;" },","")</f>
        <v xml:space="preserve"> { "3dhoneycomb", ip3DHoneycomb },</v>
      </c>
      <c r="AT19" t="str">
        <f>IF(OR(Infill[[#This Row],[Is Infill]],Infill[[#This Row],[Is Surface]]),"def-&gt;enum_values.push_back("""&amp;Infill[[#This Row],[infill]]&amp;""");","")</f>
        <v>def-&gt;enum_values.push_back("3dhoneycomb");</v>
      </c>
      <c r="AU19" t="str">
        <f>IF(OR(Infill[[#This Row],[Is Infill]],Infill[[#This Row],[Is Surface]]),"def-&gt;enum_labels.push_back(L("""&amp;Infill[[#This Row],[name]]&amp;"""));","")</f>
        <v>def-&gt;enum_labels.push_back(L("3D Honeycomb"));</v>
      </c>
      <c r="AW19" t="str">
        <f>Infill[[#This Row],[SVG Link]]</f>
        <v>&lt;img alt="param_3dhoneycomb" src="https://github.com/OrcaSlicer/OrcaSlicer/blob/main/resources/images/param_3dhoneycomb.svg?raw=true" height="45"&gt;</v>
      </c>
      <c r="AX19" s="1" t="str">
        <f>"["&amp;Infill[[#This Row],[name]]&amp;"](strength_settings_patterns#"&amp;Infill[[#This Row],[nameMD]]&amp;")"</f>
        <v>[3D Honeycomb](strength_settings_patterns#3d-honeycomb)</v>
      </c>
      <c r="AY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19" s="1" t="str">
        <f>Infill[[#This Row],[Material Usage Icon]]</f>
        <v>![level-to-worse-3](https://github.com/OrcaSlicer/OrcaSlicer_WIKI/blob/main/images/misc/level-to-worse-3.svg?raw=true)</v>
      </c>
      <c r="BA19" s="1" t="str">
        <f>Infill[[#This Row],[Print Time Icon]]</f>
        <v>![level-to-worse-7](https://github.com/OrcaSlicer/OrcaSlicer_WIKI/blob/main/images/misc/level-to-worse-7.svg?raw=true)</v>
      </c>
      <c r="BB19" t="str">
        <f ca="1">Infill[[#This Row],[Layer time Variability Icon]]</f>
        <v>![level-to-worse-5](https://github.com/OrcaSlicer/OrcaSlicer_WIKI/blob/main/images/misc/level-to-worse-5.svg?raw=true)</v>
      </c>
      <c r="BC19" s="1" t="str">
        <f>Infill[[#This Row],[Multiline]]</f>
        <v>[Classic](strength_settings_infill#classic-strategy)</v>
      </c>
    </row>
    <row r="20" spans="5:55" ht="315" x14ac:dyDescent="0.25">
      <c r="E20">
        <v>18</v>
      </c>
      <c r="F20" t="b">
        <v>1</v>
      </c>
      <c r="G20" t="b">
        <v>0</v>
      </c>
      <c r="H20" t="b">
        <v>0</v>
      </c>
      <c r="I20" t="s">
        <v>174</v>
      </c>
      <c r="J20" t="s">
        <v>9</v>
      </c>
      <c r="K20" t="s">
        <v>173</v>
      </c>
      <c r="L20" t="s">
        <v>177</v>
      </c>
      <c r="M20" t="s">
        <v>217</v>
      </c>
      <c r="N20" t="s">
        <v>216</v>
      </c>
      <c r="O20" t="inlineStr">
        <is>
          <t>No</t>
        </is>
      </c>
      <c r="P20" s="8" t="s">
        <v>179</v>
      </c>
      <c r="Q20">
        <v>3</v>
      </c>
      <c r="R20" t="str">
        <f>_xlfn.XLOOKUP(Infill[[#This Row],[XY-N]],Rating[N],Rating[Name])</f>
        <v>Normal-Low</v>
      </c>
      <c r="S20" t="str">
        <f>_xlfn.XLOOKUP(Infill[[#This Row],[XY-N]],Rating[N],Rating[level-to-better])</f>
        <v>![level-to-better-3](https://github.com/OrcaSlicer/OrcaSlicer_WIKI/blob/main/images/misc/level-to-better-3.svg?raw=true)</v>
      </c>
      <c r="T20">
        <v>3</v>
      </c>
      <c r="U20" t="str">
        <f>_xlfn.XLOOKUP(Infill[[#This Row],[Z-N]],Rating[N],Rating[Name])</f>
        <v>Normal-Low</v>
      </c>
      <c r="V20" t="str">
        <f>_xlfn.XLOOKUP(Infill[[#This Row],[Z-N]],Rating[N],Rating[level-to-better])</f>
        <v>![level-to-better-3](https://github.com/OrcaSlicer/OrcaSlicer_WIKI/blob/main/images/misc/level-to-better-3.svg?raw=true)</v>
      </c>
      <c r="W20" s="11">
        <f ca="1">_xlfn.XLOOKUP(Infill[[#This Row],[infill]],Tabla7[infill],Tabla7[% 2 Sigma])</f>
        <v>0.66989273589465026</v>
      </c>
      <c r="X20" t="str">
        <f ca="1">_xlfn.XLOOKUP(Infill[[#This Row],[% 2 Sigma]],AbsRating[Max %],AbsRating[Name],,1)</f>
        <v>Possibly Noticeable</v>
      </c>
      <c r="Y20" t="str">
        <f ca="1">_xlfn.XLOOKUP(Infill[[#This Row],[% 2 Sigma]],AbsRating[Max %],AbsRating[icon],,1)</f>
        <v>![level-to-worse-5](https://github.com/OrcaSlicer/OrcaSlicer_WIKI/blob/main/images/misc/level-to-worse-5.svg?raw=true)</v>
      </c>
      <c r="Z20" s="2" t="s">
        <v>72</v>
      </c>
      <c r="AA20">
        <f>_xlfn.XLOOKUP(Infill[[#This Row],[infill]],Tabla7[infill],Tabla7[g])</f>
        <v>149.51300000000001</v>
      </c>
      <c r="AB20" s="2">
        <f>Infill[[#This Row],[g]]/(997.25*0.15)</f>
        <v>0.99950196373360078</v>
      </c>
      <c r="AC20" s="2" t="str">
        <f>_xlfn.XLOOKUP(Infill[[#This Row],[% Effective]],Rating[Max %],Rating[Name],,1)</f>
        <v>Normal</v>
      </c>
      <c r="AD20" s="2" t="str">
        <f>_xlfn.XLOOKUP(Infill[[#This Row],[% Effective]],Rating[Max %],Rating[level-to-worse],,1)</f>
        <v>![level-to-worse-4](https://github.com/OrcaSlicer/OrcaSlicer_WIKI/blob/main/images/misc/level-to-worse-4.svg?raw=true)</v>
      </c>
      <c r="AE20">
        <f>_xlfn.XLOOKUP(Infill[[#This Row],[infill]],Tabla7[infill],Tabla7[Total Time])</f>
        <v>242.97499999999999</v>
      </c>
      <c r="AF20" s="2">
        <f>Infill[[#This Row],[Total Time]]/AVERAGEIFS(Infill[Total Time],Infill[Material Usage Icon],_xlfn.XLOOKUP("Normal",Rating[Name],Rating[level-to-worse]))</f>
        <v>0.79759324676681131</v>
      </c>
      <c r="AG20" s="2" t="str">
        <f>_xlfn.XLOOKUP(Infill[[#This Row],[t prom]],Rating[Max %],Rating[Name],,1)</f>
        <v>Normal-Low</v>
      </c>
      <c r="AH20" s="2" t="str">
        <f>_xlfn.XLOOKUP(Infill[[#This Row],[t prom]],Rating[Max %],Rating[level-to-worse],,1)</f>
        <v>![level-to-worse-3](https://github.com/OrcaSlicer/OrcaSlicer_WIKI/blob/main/images/misc/level-to-worse-3.svg?raw=true)</v>
      </c>
      <c r="AI20" s="3">
        <f>Infill[[#This Row],[g]]/Infill[[#This Row],[Total Time]]</f>
        <v>0.61534314229859044</v>
      </c>
      <c r="AJ20" s="2">
        <f>Infill[[#This Row],[g/t]]/AVERAGEIFS(Infill[g/t],Infill[Material Usage Icon],_xlfn.XLOOKUP("Normal",Rating[Name],Rating[level-to-worse]))</f>
        <v>1.1294044396525231</v>
      </c>
      <c r="AK20" s="2" t="str">
        <f>_xlfn.XLOOKUP(Infill[[#This Row],[g/t prom]],Rating[Max %],Rating[Name],,1)</f>
        <v>Normal-High</v>
      </c>
      <c r="AL20" s="1" t="str">
        <f>_xlfn.XLOOKUP(Infill[[#This Row],[g/t prom]],Rating[Max %],Rating[level-to-better],,1)</f>
        <v>![level-to-better-5](https://github.com/OrcaSlicer/OrcaSlicer_WIKI/blob/main/images/misc/level-to-better-5.svg?raw=true)</v>
      </c>
      <c r="AM20" s="2" t="str">
        <f>SUBSTITUTE(LOWER(Infill[[#This Row],[name]])," ","-")</f>
        <v>lateral-honeycomb</v>
      </c>
      <c r="AN20" t="str">
        <f>"param_"&amp;Infill[[#This Row],[infill]]</f>
        <v>param_lateral-honeycomb</v>
      </c>
      <c r="AO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P20" s="2" t="str">
        <f>"["&amp;Infill[[#This Row],[name]]&amp;"](#"&amp;Infill[[#This Row],[nameMD]]&amp;")"</f>
        <v>[Lateral Honeycomb](#lateral-honeycomb)</v>
      </c>
      <c r="AQ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![infill-top-lateral-honeycomb](https://github.com/OrcaSlicer/OrcaSlicer_WIKI/blob/main/images/fill/infill-top-lateral-honeycomb.png?raw=true)
</v>
      </c>
      <c r="AS20" t="str">
        <f>IF(OR(Infill[[#This Row],[Is Infill]],Infill[[#This Row],[Is Surface]])," { """&amp;Infill[[#This Row],[infill]]&amp;""", "&amp;Infill[[#This Row],[ip]]&amp;" },","")</f>
        <v xml:space="preserve"> { "lateral-honeycomb", ipLateralHoneycomb },</v>
      </c>
      <c r="AT20" t="str">
        <f>IF(OR(Infill[[#This Row],[Is Infill]],Infill[[#This Row],[Is Surface]]),"def-&gt;enum_values.push_back("""&amp;Infill[[#This Row],[infill]]&amp;""");","")</f>
        <v>def-&gt;enum_values.push_back("lateral-honeycomb");</v>
      </c>
      <c r="AU20" t="str">
        <f>IF(OR(Infill[[#This Row],[Is Infill]],Infill[[#This Row],[Is Surface]]),"def-&gt;enum_labels.push_back(L("""&amp;Infill[[#This Row],[name]]&amp;"""));","")</f>
        <v>def-&gt;enum_labels.push_back(L("Lateral Honeycomb"));</v>
      </c>
      <c r="AW20" t="str">
        <f>Infill[[#This Row],[SVG Link]]</f>
        <v>&lt;img alt="param_lateral-honeycomb" src="https://github.com/OrcaSlicer/OrcaSlicer/blob/main/resources/images/param_lateral-honeycomb.svg?raw=true" height="45"&gt;</v>
      </c>
      <c r="AX20" s="1" t="str">
        <f>"["&amp;Infill[[#This Row],[name]]&amp;"](strength_settings_patterns#"&amp;Infill[[#This Row],[nameMD]]&amp;")"</f>
        <v>[Lateral Honeycomb](strength_settings_patterns#lateral-honeycomb)</v>
      </c>
      <c r="AY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Z20" s="1" t="str">
        <f>Infill[[#This Row],[Material Usage Icon]]</f>
        <v>![level-to-worse-4](https://github.com/OrcaSlicer/OrcaSlicer_WIKI/blob/main/images/misc/level-to-worse-4.svg?raw=true)</v>
      </c>
      <c r="BA20" s="1" t="str">
        <f>Infill[[#This Row],[Print Time Icon]]</f>
        <v>![level-to-worse-3](https://github.com/OrcaSlicer/OrcaSlicer_WIKI/blob/main/images/misc/level-to-worse-3.svg?raw=true)</v>
      </c>
      <c r="BB20" t="str">
        <f ca="1">Infill[[#This Row],[Layer time Variability Icon]]</f>
        <v>![level-to-worse-5](https://github.com/OrcaSlicer/OrcaSlicer_WIKI/blob/main/images/misc/level-to-worse-5.svg?raw=true)</v>
      </c>
      <c r="BC20" s="1" t="str">
        <f>Infill[[#This Row],[Multiline]]</f>
        <v>[Classic](strength_settings_infill#classic-strategy)</v>
      </c>
    </row>
    <row r="21" spans="5:55" ht="300" x14ac:dyDescent="0.25">
      <c r="E21">
        <v>19</v>
      </c>
      <c r="F21" t="b">
        <v>1</v>
      </c>
      <c r="G21" t="b">
        <v>0</v>
      </c>
      <c r="H21" t="b">
        <v>0</v>
      </c>
      <c r="I21" t="s">
        <v>175</v>
      </c>
      <c r="J21" t="s">
        <v>176</v>
      </c>
      <c r="K21" t="s">
        <v>172</v>
      </c>
      <c r="L21" t="s">
        <v>178</v>
      </c>
      <c r="M21" t="s">
        <v>217</v>
      </c>
      <c r="N21" t="s">
        <v>216</v>
      </c>
      <c r="O21" t="inlineStr">
        <is>
          <t>No</t>
        </is>
      </c>
      <c r="P21" s="6" t="s">
        <v>82</v>
      </c>
      <c r="Q21">
        <v>3</v>
      </c>
      <c r="R21" t="str">
        <f>_xlfn.XLOOKUP(Infill[[#This Row],[XY-N]],Rating[N],Rating[Name])</f>
        <v>Normal-Low</v>
      </c>
      <c r="S21" t="str">
        <f>_xlfn.XLOOKUP(Infill[[#This Row],[XY-N]],Rating[N],Rating[level-to-better])</f>
        <v>![level-to-better-3](https://github.com/OrcaSlicer/OrcaSlicer_WIKI/blob/main/images/misc/level-to-better-3.svg?raw=true)</v>
      </c>
      <c r="T21">
        <v>2</v>
      </c>
      <c r="U21" t="str">
        <f>_xlfn.XLOOKUP(Infill[[#This Row],[Z-N]],Rating[N],Rating[Name])</f>
        <v>Low</v>
      </c>
      <c r="V21" t="str">
        <f>_xlfn.XLOOKUP(Infill[[#This Row],[Z-N]],Rating[N],Rating[level-to-better])</f>
        <v>![level-to-better-2](https://github.com/OrcaSlicer/OrcaSlicer_WIKI/blob/main/images/misc/level-to-better-2.svg?raw=true)</v>
      </c>
      <c r="W21" s="11">
        <f ca="1">_xlfn.XLOOKUP(Infill[[#This Row],[infill]],Tabla7[infill],Tabla7[% 2 Sigma])</f>
        <v>1.7314387083203098E-2</v>
      </c>
      <c r="X21" t="str">
        <f ca="1">_xlfn.XLOOKUP(Infill[[#This Row],[% 2 Sigma]],AbsRating[Max %],AbsRating[Name],,1)</f>
        <v>Unnoticeable</v>
      </c>
      <c r="Y21" t="str">
        <f ca="1">_xlfn.XLOOKUP(Infill[[#This Row],[% 2 Sigma]],AbsRating[Max %],AbsRating[icon],,1)</f>
        <v>![level-to-worse-2](https://github.com/OrcaSlicer/OrcaSlicer_WIKI/blob/main/images/misc/level-to-worse-2.svg?raw=true)</v>
      </c>
      <c r="Z21" s="2" t="s">
        <v>72</v>
      </c>
      <c r="AA21">
        <f>_xlfn.XLOOKUP(Infill[[#This Row],[infill]],Tabla7[infill],Tabla7[g])</f>
        <v>149.00700000000001</v>
      </c>
      <c r="AB21" s="2">
        <f>Infill[[#This Row],[g]]/(997.25*0.15)</f>
        <v>0.9961193281524191</v>
      </c>
      <c r="AC21" s="2" t="str">
        <f>_xlfn.XLOOKUP(Infill[[#This Row],[% Effective]],Rating[Max %],Rating[Name],,1)</f>
        <v>Normal</v>
      </c>
      <c r="AD21" s="2" t="str">
        <f>_xlfn.XLOOKUP(Infill[[#This Row],[% Effective]],Rating[Max %],Rating[level-to-worse],,1)</f>
        <v>![level-to-worse-4](https://github.com/OrcaSlicer/OrcaSlicer_WIKI/blob/main/images/misc/level-to-worse-4.svg?raw=true)</v>
      </c>
      <c r="AE21">
        <f>_xlfn.XLOOKUP(Infill[[#This Row],[infill]],Tabla7[infill],Tabla7[Total Time])</f>
        <v>242.48599999999999</v>
      </c>
      <c r="AF21" s="2">
        <f>Infill[[#This Row],[Total Time]]/AVERAGEIFS(Infill[Total Time],Infill[Material Usage Icon],_xlfn.XLOOKUP("Normal",Rating[Name],Rating[level-to-worse]))</f>
        <v>0.79598804829919534</v>
      </c>
      <c r="AG21" s="2" t="str">
        <f>_xlfn.XLOOKUP(Infill[[#This Row],[t prom]],Rating[Max %],Rating[Name],,1)</f>
        <v>Normal-Low</v>
      </c>
      <c r="AH21" s="2" t="str">
        <f>_xlfn.XLOOKUP(Infill[[#This Row],[t prom]],Rating[Max %],Rating[level-to-worse],,1)</f>
        <v>![level-to-worse-3](https://github.com/OrcaSlicer/OrcaSlicer_WIKI/blob/main/images/misc/level-to-worse-3.svg?raw=true)</v>
      </c>
      <c r="AI21" s="3">
        <f>Infill[[#This Row],[g]]/Infill[[#This Row],[Total Time]]</f>
        <v>0.61449733180472277</v>
      </c>
      <c r="AJ21" s="2">
        <f>Infill[[#This Row],[g/t]]/AVERAGEIFS(Infill[g/t],Infill[Material Usage Icon],_xlfn.XLOOKUP("Normal",Rating[Name],Rating[level-to-worse]))</f>
        <v>1.1278520340738887</v>
      </c>
      <c r="AK21" s="2" t="str">
        <f>_xlfn.XLOOKUP(Infill[[#This Row],[g/t prom]],Rating[Max %],Rating[Name],,1)</f>
        <v>Normal-High</v>
      </c>
      <c r="AL21" s="1" t="str">
        <f>_xlfn.XLOOKUP(Infill[[#This Row],[g/t prom]],Rating[Max %],Rating[level-to-better],,1)</f>
        <v>![level-to-better-5](https://github.com/OrcaSlicer/OrcaSlicer_WIKI/blob/main/images/misc/level-to-better-5.svg?raw=true)</v>
      </c>
      <c r="AM21" s="2" t="str">
        <f>SUBSTITUTE(LOWER(Infill[[#This Row],[name]])," ","-")</f>
        <v>lateral-lattice</v>
      </c>
      <c r="AN21" t="str">
        <f>"param_"&amp;Infill[[#This Row],[infill]]</f>
        <v>param_lateral-lattice</v>
      </c>
      <c r="AO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P21" s="2" t="str">
        <f>"["&amp;Infill[[#This Row],[name]]&amp;"](#"&amp;Infill[[#This Row],[nameMD]]&amp;")"</f>
        <v>[Lateral Lattice](#lateral-lattice)</v>
      </c>
      <c r="AQ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![infill-top-lateral-lattice](https://github.com/OrcaSlicer/OrcaSlicer_WIKI/blob/main/images/fill/infill-top-lateral-lattice.png?raw=true)
</v>
      </c>
      <c r="AS21" t="str">
        <f>IF(OR(Infill[[#This Row],[Is Infill]],Infill[[#This Row],[Is Surface]])," { """&amp;Infill[[#This Row],[infill]]&amp;""", "&amp;Infill[[#This Row],[ip]]&amp;" },","")</f>
        <v xml:space="preserve"> { "lateral-lattice", ipLateralLattice },</v>
      </c>
      <c r="AT21" t="str">
        <f>IF(OR(Infill[[#This Row],[Is Infill]],Infill[[#This Row],[Is Surface]]),"def-&gt;enum_values.push_back("""&amp;Infill[[#This Row],[infill]]&amp;""");","")</f>
        <v>def-&gt;enum_values.push_back("lateral-lattice");</v>
      </c>
      <c r="AU21" t="str">
        <f>IF(OR(Infill[[#This Row],[Is Infill]],Infill[[#This Row],[Is Surface]]),"def-&gt;enum_labels.push_back(L("""&amp;Infill[[#This Row],[name]]&amp;"""));","")</f>
        <v>def-&gt;enum_labels.push_back(L("Lateral Lattice"));</v>
      </c>
      <c r="AW21" t="str">
        <f>Infill[[#This Row],[SVG Link]]</f>
        <v>&lt;img alt="param_lateral-lattice" src="https://github.com/OrcaSlicer/OrcaSlicer/blob/main/resources/images/param_lateral-lattice.svg?raw=true" height="45"&gt;</v>
      </c>
      <c r="AX21" s="1" t="str">
        <f>"["&amp;Infill[[#This Row],[name]]&amp;"](strength_settings_patterns#"&amp;Infill[[#This Row],[nameMD]]&amp;")"</f>
        <v>[Lateral Lattice](strength_settings_patterns#lateral-lattice)</v>
      </c>
      <c r="AY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Z21" s="1" t="str">
        <f>Infill[[#This Row],[Material Usage Icon]]</f>
        <v>![level-to-worse-4](https://github.com/OrcaSlicer/OrcaSlicer_WIKI/blob/main/images/misc/level-to-worse-4.svg?raw=true)</v>
      </c>
      <c r="BA21" s="1" t="str">
        <f>Infill[[#This Row],[Print Time Icon]]</f>
        <v>![level-to-worse-3](https://github.com/OrcaSlicer/OrcaSlicer_WIKI/blob/main/images/misc/level-to-worse-3.svg?raw=true)</v>
      </c>
      <c r="BB21" t="str">
        <f ca="1">Infill[[#This Row],[Layer time Variability Icon]]</f>
        <v>![level-to-worse-2](https://github.com/OrcaSlicer/OrcaSlicer_WIKI/blob/main/images/misc/level-to-worse-2.svg?raw=true)</v>
      </c>
      <c r="BC21" s="1" t="str">
        <f>Infill[[#This Row],[Multiline]]</f>
        <v>[Classic](strength_settings_infill#classic-strategy)</v>
      </c>
    </row>
    <row r="22" spans="5:55" ht="315" x14ac:dyDescent="0.25">
      <c r="E22">
        <v>20</v>
      </c>
      <c r="F22" t="b">
        <v>1</v>
      </c>
      <c r="G22" t="b">
        <v>0</v>
      </c>
      <c r="H22" t="b">
        <v>0</v>
      </c>
      <c r="I22" t="s">
        <v>18</v>
      </c>
      <c r="J22" t="s">
        <v>152</v>
      </c>
      <c r="K22" t="s">
        <v>109</v>
      </c>
      <c r="L22" t="s">
        <v>134</v>
      </c>
      <c r="M22" t="s">
        <v>217</v>
      </c>
      <c r="N22" t="s">
        <v>216</v>
      </c>
      <c r="O22" t="inlineStr">
        <is>
          <t>Yes</t>
        </is>
      </c>
      <c r="P22" s="6" t="s">
        <v>84</v>
      </c>
      <c r="Q22">
        <v>5</v>
      </c>
      <c r="R22" t="str">
        <f>_xlfn.XLOOKUP(Infill[[#This Row],[XY-N]],Rating[N],Rating[Name])</f>
        <v>Normal-High</v>
      </c>
      <c r="S22" t="str">
        <f>_xlfn.XLOOKUP(Infill[[#This Row],[XY-N]],Rating[N],Rating[level-to-better])</f>
        <v>![level-to-better-5](https://github.com/OrcaSlicer/OrcaSlicer_WIKI/blob/main/images/misc/level-to-better-5.svg?raw=true)</v>
      </c>
      <c r="T22">
        <v>5</v>
      </c>
      <c r="U22" t="str">
        <f>_xlfn.XLOOKUP(Infill[[#This Row],[Z-N]],Rating[N],Rating[Name])</f>
        <v>Normal-High</v>
      </c>
      <c r="V22" t="str">
        <f>_xlfn.XLOOKUP(Infill[[#This Row],[Z-N]],Rating[N],Rating[level-to-better])</f>
        <v>![level-to-better-5](https://github.com/OrcaSlicer/OrcaSlicer_WIKI/blob/main/images/misc/level-to-better-5.svg?raw=true)</v>
      </c>
      <c r="W22" s="11">
        <f ca="1">_xlfn.XLOOKUP(Infill[[#This Row],[infill]],Tabla7[infill],Tabla7[% 2 Sigma])</f>
        <v>1.083366881386107</v>
      </c>
      <c r="X22" t="str">
        <f ca="1">_xlfn.XLOOKUP(Infill[[#This Row],[% 2 Sigma]],AbsRating[Max %],AbsRating[Name],,1)</f>
        <v>Likely Noticeable</v>
      </c>
      <c r="Y22" t="str">
        <f ca="1">_xlfn.XLOOKUP(Infill[[#This Row],[% 2 Sigma]],AbsRating[Max %],AbsRating[icon],,1)</f>
        <v>![level-to-worse-8](https://github.com/OrcaSlicer/OrcaSlicer_WIKI/blob/main/images/misc/level-to-worse-8.svg?raw=true)</v>
      </c>
      <c r="Z22" s="2" t="s">
        <v>72</v>
      </c>
      <c r="AA22">
        <f>_xlfn.XLOOKUP(Infill[[#This Row],[infill]],Tabla7[infill],Tabla7[g])</f>
        <v>144.98400000000001</v>
      </c>
      <c r="AB22" s="2">
        <f>Infill[[#This Row],[g]]/(997.25*0.15)</f>
        <v>0.96922536976685891</v>
      </c>
      <c r="AC22" s="2" t="str">
        <f>_xlfn.XLOOKUP(Infill[[#This Row],[% Effective]],Rating[Max %],Rating[Name],,1)</f>
        <v>Normal</v>
      </c>
      <c r="AD22" s="2" t="str">
        <f>_xlfn.XLOOKUP(Infill[[#This Row],[% Effective]],Rating[Max %],Rating[level-to-worse],,1)</f>
        <v>![level-to-worse-4](https://github.com/OrcaSlicer/OrcaSlicer_WIKI/blob/main/images/misc/level-to-worse-4.svg?raw=true)</v>
      </c>
      <c r="AE22">
        <f>_xlfn.XLOOKUP(Infill[[#This Row],[infill]],Tabla7[infill],Tabla7[Total Time])</f>
        <v>400.47699999999998</v>
      </c>
      <c r="AF22" s="2">
        <f>Infill[[#This Row],[Total Time]]/AVERAGEIFS(Infill[Total Time],Infill[Material Usage Icon],_xlfn.XLOOKUP("Normal",Rating[Name],Rating[level-to-worse]))</f>
        <v>1.3146115883750684</v>
      </c>
      <c r="AG22" s="2" t="str">
        <f>_xlfn.XLOOKUP(Infill[[#This Row],[t prom]],Rating[Max %],Rating[Name],,1)</f>
        <v>High</v>
      </c>
      <c r="AH22" s="2" t="str">
        <f>_xlfn.XLOOKUP(Infill[[#This Row],[t prom]],Rating[Max %],Rating[level-to-worse],,1)</f>
        <v>![level-to-worse-6](https://github.com/OrcaSlicer/OrcaSlicer_WIKI/blob/main/images/misc/level-to-worse-6.svg?raw=true)</v>
      </c>
      <c r="AI22" s="3">
        <f>Infill[[#This Row],[g]]/Infill[[#This Row],[Total Time]]</f>
        <v>0.36202828127458009</v>
      </c>
      <c r="AJ22" s="2">
        <f>Infill[[#This Row],[g/t]]/AVERAGEIFS(Infill[g/t],Infill[Material Usage Icon],_xlfn.XLOOKUP("Normal",Rating[Name],Rating[level-to-worse]))</f>
        <v>0.66446884680300722</v>
      </c>
      <c r="AK22" s="2" t="str">
        <f>_xlfn.XLOOKUP(Infill[[#This Row],[g/t prom]],Rating[Max %],Rating[Name],,1)</f>
        <v>Low</v>
      </c>
      <c r="AL22" s="1" t="str">
        <f>_xlfn.XLOOKUP(Infill[[#This Row],[g/t prom]],Rating[Max %],Rating[level-to-better],,1)</f>
        <v>![level-to-better-2](https://github.com/OrcaSlicer/OrcaSlicer_WIKI/blob/main/images/misc/level-to-better-2.svg?raw=true)</v>
      </c>
      <c r="AM22" s="2" t="str">
        <f>SUBSTITUTE(LOWER(Infill[[#This Row],[name]])," ","-")</f>
        <v>cross-hatch</v>
      </c>
      <c r="AN22" t="str">
        <f>"param_"&amp;Infill[[#This Row],[infill]]</f>
        <v>param_crosshatch</v>
      </c>
      <c r="AO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P22" s="2" t="str">
        <f>"["&amp;Infill[[#This Row],[name]]&amp;"](#"&amp;Infill[[#This Row],[nameMD]]&amp;")"</f>
        <v>[Cross Hatch](#cross-hatch)</v>
      </c>
      <c r="AQ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![infill-top-cross-hatch](https://github.com/OrcaSlicer/OrcaSlicer_WIKI/blob/main/images/fill/infill-top-cross-hatch.png?raw=true)
</v>
      </c>
      <c r="AS22" t="str">
        <f>IF(OR(Infill[[#This Row],[Is Infill]],Infill[[#This Row],[Is Surface]])," { """&amp;Infill[[#This Row],[infill]]&amp;""", "&amp;Infill[[#This Row],[ip]]&amp;" },","")</f>
        <v xml:space="preserve"> { "crosshatch", ipCrossHatch },</v>
      </c>
      <c r="AT22" t="str">
        <f>IF(OR(Infill[[#This Row],[Is Infill]],Infill[[#This Row],[Is Surface]]),"def-&gt;enum_values.push_back("""&amp;Infill[[#This Row],[infill]]&amp;""");","")</f>
        <v>def-&gt;enum_values.push_back("crosshatch");</v>
      </c>
      <c r="AU22" t="str">
        <f>IF(OR(Infill[[#This Row],[Is Infill]],Infill[[#This Row],[Is Surface]]),"def-&gt;enum_labels.push_back(L("""&amp;Infill[[#This Row],[name]]&amp;"""));","")</f>
        <v>def-&gt;enum_labels.push_back(L("Cross Hatch"));</v>
      </c>
      <c r="AW22" t="str">
        <f>Infill[[#This Row],[SVG Link]]</f>
        <v>&lt;img alt="param_crosshatch" src="https://github.com/OrcaSlicer/OrcaSlicer/blob/main/resources/images/param_crosshatch.svg?raw=true" height="45"&gt;</v>
      </c>
      <c r="AX22" s="1" t="str">
        <f>"["&amp;Infill[[#This Row],[name]]&amp;"](strength_settings_patterns#"&amp;Infill[[#This Row],[nameMD]]&amp;")"</f>
        <v>[Cross Hatch](strength_settings_patterns#cross-hatch)</v>
      </c>
      <c r="AY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2" s="1" t="str">
        <f>Infill[[#This Row],[Material Usage Icon]]</f>
        <v>![level-to-worse-4](https://github.com/OrcaSlicer/OrcaSlicer_WIKI/blob/main/images/misc/level-to-worse-4.svg?raw=true)</v>
      </c>
      <c r="BA22" s="1" t="str">
        <f>Infill[[#This Row],[Print Time Icon]]</f>
        <v>![level-to-worse-6](https://github.com/OrcaSlicer/OrcaSlicer_WIKI/blob/main/images/misc/level-to-worse-6.svg?raw=true)</v>
      </c>
      <c r="BB22" t="str">
        <f ca="1">Infill[[#This Row],[Layer time Variability Icon]]</f>
        <v>![level-to-worse-8](https://github.com/OrcaSlicer/OrcaSlicer_WIKI/blob/main/images/misc/level-to-worse-8.svg?raw=true)</v>
      </c>
      <c r="BC22" s="1" t="str">
        <f>Infill[[#This Row],[Multiline]]</f>
        <v>[Classic](strength_settings_infill#classic-strategy)</v>
      </c>
    </row>
    <row r="23" spans="5:55" ht="300" x14ac:dyDescent="0.25">
      <c r="E23">
        <v>21</v>
      </c>
      <c r="F23" t="b">
        <v>1</v>
      </c>
      <c r="G23" t="b">
        <v>0</v>
      </c>
      <c r="H23" t="b">
        <v>0</v>
      </c>
      <c r="I23" t="s">
        <v>8</v>
      </c>
      <c r="J23" t="s">
        <v>152</v>
      </c>
      <c r="K23" t="s">
        <v>95</v>
      </c>
      <c r="L23" t="s">
        <v>124</v>
      </c>
      <c r="M23" t="s">
        <v>217</v>
      </c>
      <c r="N23" t="s">
        <v>216</v>
      </c>
      <c r="O23" t="inlineStr">
        <is>
          <t>No</t>
        </is>
      </c>
      <c r="P23" s="6" t="s">
        <v>86</v>
      </c>
      <c r="Q23">
        <v>6</v>
      </c>
      <c r="R23" t="str">
        <f>_xlfn.XLOOKUP(Infill[[#This Row],[XY-N]],Rating[N],Rating[Name])</f>
        <v>High</v>
      </c>
      <c r="S23" t="str">
        <f>_xlfn.XLOOKUP(Infill[[#This Row],[XY-N]],Rating[N],Rating[level-to-better])</f>
        <v>![level-to-better-6](https://github.com/OrcaSlicer/OrcaSlicer_WIKI/blob/main/images/misc/level-to-better-6.svg?raw=true)</v>
      </c>
      <c r="T23">
        <v>6</v>
      </c>
      <c r="U23" t="str">
        <f>_xlfn.XLOOKUP(Infill[[#This Row],[Z-N]],Rating[N],Rating[Name])</f>
        <v>High</v>
      </c>
      <c r="V23" t="str">
        <f>_xlfn.XLOOKUP(Infill[[#This Row],[Z-N]],Rating[N],Rating[level-to-better])</f>
        <v>![level-to-better-6](https://github.com/OrcaSlicer/OrcaSlicer_WIKI/blob/main/images/misc/level-to-better-6.svg?raw=true)</v>
      </c>
      <c r="W23" s="11">
        <f ca="1">_xlfn.XLOOKUP(Infill[[#This Row],[infill]],Tabla7[infill],Tabla7[% 2 Sigma])</f>
        <v>0.68529357308498673</v>
      </c>
      <c r="X23" t="str">
        <f ca="1">_xlfn.XLOOKUP(Infill[[#This Row],[% 2 Sigma]],AbsRating[Max %],AbsRating[Name],,1)</f>
        <v>Possibly Noticeable</v>
      </c>
      <c r="Y23" t="str">
        <f ca="1">_xlfn.XLOOKUP(Infill[[#This Row],[% 2 Sigma]],AbsRating[Max %],AbsRating[icon],,1)</f>
        <v>![level-to-worse-5](https://github.com/OrcaSlicer/OrcaSlicer_WIKI/blob/main/images/misc/level-to-worse-5.svg?raw=true)</v>
      </c>
      <c r="Z23" s="2" t="s">
        <v>72</v>
      </c>
      <c r="AA23">
        <f>_xlfn.XLOOKUP(Infill[[#This Row],[infill]],Tabla7[infill],Tabla7[g])</f>
        <v>151.50399999999999</v>
      </c>
      <c r="AB23" s="2">
        <f>Infill[[#This Row],[g]]/(997.25*0.15)</f>
        <v>1.0128118993899891</v>
      </c>
      <c r="AC23" s="2" t="str">
        <f>_xlfn.XLOOKUP(Infill[[#This Row],[% Effective]],Rating[Max %],Rating[Name],,1)</f>
        <v>Normal</v>
      </c>
      <c r="AD23" s="2" t="str">
        <f>_xlfn.XLOOKUP(Infill[[#This Row],[% Effective]],Rating[Max %],Rating[level-to-worse],,1)</f>
        <v>![level-to-worse-4](https://github.com/OrcaSlicer/OrcaSlicer_WIKI/blob/main/images/misc/level-to-worse-4.svg?raw=true)</v>
      </c>
      <c r="AE23">
        <f>_xlfn.XLOOKUP(Infill[[#This Row],[infill]],Tabla7[infill],Tabla7[Total Time])</f>
        <v>446.94600000000003</v>
      </c>
      <c r="AF23" s="2">
        <f>Infill[[#This Row],[Total Time]]/AVERAGEIFS(Infill[Total Time],Infill[Material Usage Icon],_xlfn.XLOOKUP("Normal",Rating[Name],Rating[level-to-worse]))</f>
        <v>1.4671513994009231</v>
      </c>
      <c r="AG23" s="2" t="str">
        <f>_xlfn.XLOOKUP(Infill[[#This Row],[t prom]],Rating[Max %],Rating[Name],,1)</f>
        <v>High</v>
      </c>
      <c r="AH23" s="2" t="str">
        <f>_xlfn.XLOOKUP(Infill[[#This Row],[t prom]],Rating[Max %],Rating[level-to-worse],,1)</f>
        <v>![level-to-worse-6](https://github.com/OrcaSlicer/OrcaSlicer_WIKI/blob/main/images/misc/level-to-worse-6.svg?raw=true)</v>
      </c>
      <c r="AI23" s="3">
        <f>Infill[[#This Row],[g]]/Infill[[#This Row],[Total Time]]</f>
        <v>0.3389760731721505</v>
      </c>
      <c r="AJ23" s="2">
        <f>Infill[[#This Row],[g/t]]/AVERAGEIFS(Infill[g/t],Infill[Material Usage Icon],_xlfn.XLOOKUP("Normal",Rating[Name],Rating[level-to-worse]))</f>
        <v>0.62215868782825356</v>
      </c>
      <c r="AK23" s="2" t="str">
        <f>_xlfn.XLOOKUP(Infill[[#This Row],[g/t prom]],Rating[Max %],Rating[Name],,1)</f>
        <v>Low</v>
      </c>
      <c r="AL23" s="1" t="str">
        <f>_xlfn.XLOOKUP(Infill[[#This Row],[g/t prom]],Rating[Max %],Rating[level-to-better],,1)</f>
        <v>![level-to-better-2](https://github.com/OrcaSlicer/OrcaSlicer_WIKI/blob/main/images/misc/level-to-better-2.svg?raw=true)</v>
      </c>
      <c r="AM23" s="2" t="str">
        <f>SUBSTITUTE(LOWER(Infill[[#This Row],[name]])," ","-")</f>
        <v>tpms-d</v>
      </c>
      <c r="AN23" t="str">
        <f>"param_"&amp;Infill[[#This Row],[infill]]</f>
        <v>param_tpmsd</v>
      </c>
      <c r="AO23" t="str">
        <f>"&lt;img alt=""" &amp; Infill[[#This Row],[SVG]] &amp; """ src=""https://github.com/OrcaSlicer/OrcaSlicer/blob/main/resources/images/" &amp; Infill[[#This Row],[SVG]] &amp; ".svg?raw=true"" height=""45""&gt;"</f>
        <v>&lt;img alt="param_tpmsd" src="https://github.com/OrcaSlicer/OrcaSlicer/blob/main/resources/images/param_tpmsd.svg?raw=true" height="45"&gt;</v>
      </c>
      <c r="AP23" s="2" t="str">
        <f>"["&amp;Infill[[#This Row],[name]]&amp;"](#"&amp;Infill[[#This Row],[nameMD]]&amp;")"</f>
        <v>[TPMS-D](#tpms-d)</v>
      </c>
      <c r="AQ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![infill-top-tpms-d](https://github.com/OrcaSlicer/OrcaSlicer_WIKI/blob/main/images/fill/infill-top-tpms-d.png?raw=true)
</v>
      </c>
      <c r="AS23" t="str">
        <f>IF(OR(Infill[[#This Row],[Is Infill]],Infill[[#This Row],[Is Surface]])," { """&amp;Infill[[#This Row],[infill]]&amp;""", "&amp;Infill[[#This Row],[ip]]&amp;" },","")</f>
        <v xml:space="preserve"> { "tpmsd", ipTpmsD },</v>
      </c>
      <c r="AT23" t="str">
        <f>IF(OR(Infill[[#This Row],[Is Infill]],Infill[[#This Row],[Is Surface]]),"def-&gt;enum_values.push_back("""&amp;Infill[[#This Row],[infill]]&amp;""");","")</f>
        <v>def-&gt;enum_values.push_back("tpmsd");</v>
      </c>
      <c r="AU23" t="str">
        <f>IF(OR(Infill[[#This Row],[Is Infill]],Infill[[#This Row],[Is Surface]]),"def-&gt;enum_labels.push_back(L("""&amp;Infill[[#This Row],[name]]&amp;"""));","")</f>
        <v>def-&gt;enum_labels.push_back(L("TPMS-D"));</v>
      </c>
      <c r="AW23" t="str">
        <f>Infill[[#This Row],[SVG Link]]</f>
        <v>&lt;img alt="param_tpmsd" src="https://github.com/OrcaSlicer/OrcaSlicer/blob/main/resources/images/param_tpmsd.svg?raw=true" height="45"&gt;</v>
      </c>
      <c r="AX23" s="1" t="str">
        <f>"["&amp;Infill[[#This Row],[name]]&amp;"](strength_settings_patterns#"&amp;Infill[[#This Row],[nameMD]]&amp;")"</f>
        <v>[TPMS-D](strength_settings_patterns#tpms-d)</v>
      </c>
      <c r="AY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3" s="1" t="str">
        <f>Infill[[#This Row],[Material Usage Icon]]</f>
        <v>![level-to-worse-4](https://github.com/OrcaSlicer/OrcaSlicer_WIKI/blob/main/images/misc/level-to-worse-4.svg?raw=true)</v>
      </c>
      <c r="BA23" s="1" t="str">
        <f>Infill[[#This Row],[Print Time Icon]]</f>
        <v>![level-to-worse-6](https://github.com/OrcaSlicer/OrcaSlicer_WIKI/blob/main/images/misc/level-to-worse-6.svg?raw=true)</v>
      </c>
      <c r="BB23" t="str">
        <f ca="1">Infill[[#This Row],[Layer time Variability Icon]]</f>
        <v>![level-to-worse-5](https://github.com/OrcaSlicer/OrcaSlicer_WIKI/blob/main/images/misc/level-to-worse-5.svg?raw=true)</v>
      </c>
      <c r="BC23" s="1" t="str">
        <f>Infill[[#This Row],[Multiline]]</f>
        <v>[Classic](strength_settings_infill#classic-strategy)</v>
      </c>
    </row>
    <row r="24" spans="5:55" ht="315" x14ac:dyDescent="0.25">
      <c r="E24">
        <v>22</v>
      </c>
      <c r="F24" t="b">
        <v>1</v>
      </c>
      <c r="G24" t="b">
        <v>0</v>
      </c>
      <c r="H24" t="b">
        <v>0</v>
      </c>
      <c r="I24" t="s">
        <v>162</v>
      </c>
      <c r="J24" t="s">
        <v>152</v>
      </c>
      <c r="K24" t="s">
        <v>160</v>
      </c>
      <c r="L24" t="s">
        <v>161</v>
      </c>
      <c r="M24" t="s">
        <v>217</v>
      </c>
      <c r="N24" t="s">
        <v>216</v>
      </c>
      <c r="O24" t="inlineStr">
        <is>
          <t>No</t>
        </is>
      </c>
      <c r="P24" s="8" t="s">
        <v>165</v>
      </c>
      <c r="Q24">
        <v>5</v>
      </c>
      <c r="R24" t="str">
        <f>_xlfn.XLOOKUP(Infill[[#This Row],[XY-N]],Rating[N],Rating[Name])</f>
        <v>Normal-High</v>
      </c>
      <c r="S24" t="str">
        <f>_xlfn.XLOOKUP(Infill[[#This Row],[XY-N]],Rating[N],Rating[level-to-better])</f>
        <v>![level-to-better-5](https://github.com/OrcaSlicer/OrcaSlicer_WIKI/blob/main/images/misc/level-to-better-5.svg?raw=true)</v>
      </c>
      <c r="T24">
        <v>5</v>
      </c>
      <c r="U24" t="str">
        <f>_xlfn.XLOOKUP(Infill[[#This Row],[Z-N]],Rating[N],Rating[Name])</f>
        <v>Normal-High</v>
      </c>
      <c r="V24" t="str">
        <f>_xlfn.XLOOKUP(Infill[[#This Row],[Z-N]],Rating[N],Rating[level-to-better])</f>
        <v>![level-to-better-5](https://github.com/OrcaSlicer/OrcaSlicer_WIKI/blob/main/images/misc/level-to-better-5.svg?raw=true)</v>
      </c>
      <c r="W24" s="11">
        <f ca="1">_xlfn.XLOOKUP(Infill[[#This Row],[infill]],Tabla7[infill],Tabla7[% 2 Sigma])</f>
        <v>0.33055056543794348</v>
      </c>
      <c r="X24" t="str">
        <f ca="1">_xlfn.XLOOKUP(Infill[[#This Row],[% 2 Sigma]],AbsRating[Max %],AbsRating[Name],,1)</f>
        <v>Possibly Noticeable</v>
      </c>
      <c r="Y24" t="str">
        <f ca="1">_xlfn.XLOOKUP(Infill[[#This Row],[% 2 Sigma]],AbsRating[Max %],AbsRating[icon],,1)</f>
        <v>![level-to-worse-5](https://github.com/OrcaSlicer/OrcaSlicer_WIKI/blob/main/images/misc/level-to-worse-5.svg?raw=true)</v>
      </c>
      <c r="Z24" s="2" t="s">
        <v>72</v>
      </c>
      <c r="AA24">
        <f>_xlfn.XLOOKUP(Infill[[#This Row],[infill]],Tabla7[infill],Tabla7[g])</f>
        <v>151.93199999999999</v>
      </c>
      <c r="AB24" s="2">
        <f>Infill[[#This Row],[g]]/(997.25*0.15)</f>
        <v>1.0156731010278264</v>
      </c>
      <c r="AC24" s="2" t="str">
        <f>_xlfn.XLOOKUP(Infill[[#This Row],[% Effective]],Rating[Max %],Rating[Name],,1)</f>
        <v>Normal</v>
      </c>
      <c r="AD24" s="2" t="str">
        <f>_xlfn.XLOOKUP(Infill[[#This Row],[% Effective]],Rating[Max %],Rating[level-to-worse],,1)</f>
        <v>![level-to-worse-4](https://github.com/OrcaSlicer/OrcaSlicer_WIKI/blob/main/images/misc/level-to-worse-4.svg?raw=true)</v>
      </c>
      <c r="AE24">
        <f>_xlfn.XLOOKUP(Infill[[#This Row],[infill]],Tabla7[infill],Tabla7[Total Time])</f>
        <v>595.01499999999999</v>
      </c>
      <c r="AF24" s="2">
        <f>Infill[[#This Row],[Total Time]]/AVERAGEIFS(Infill[Total Time],Infill[Material Usage Icon],_xlfn.XLOOKUP("Normal",Rating[Name],Rating[level-to-worse]))</f>
        <v>1.9532048388721235</v>
      </c>
      <c r="AG24" s="2" t="str">
        <f>_xlfn.XLOOKUP(Infill[[#This Row],[t prom]],Rating[Max %],Rating[Name],,1)</f>
        <v>Ultra-High</v>
      </c>
      <c r="AH24" s="2" t="str">
        <f>_xlfn.XLOOKUP(Infill[[#This Row],[t prom]],Rating[Max %],Rating[level-to-worse],,1)</f>
        <v>![level-to-worse-8](https://github.com/OrcaSlicer/OrcaSlicer_WIKI/blob/main/images/misc/level-to-worse-8.svg?raw=true)</v>
      </c>
      <c r="AI24" s="3">
        <f>Infill[[#This Row],[g]]/Infill[[#This Row],[Total Time]]</f>
        <v>0.25534146197995006</v>
      </c>
      <c r="AJ24" s="2">
        <f>Infill[[#This Row],[g/t]]/AVERAGEIFS(Infill[g/t],Infill[Material Usage Icon],_xlfn.XLOOKUP("Normal",Rating[Name],Rating[level-to-worse]))</f>
        <v>0.46865522821994104</v>
      </c>
      <c r="AK24" s="2" t="str">
        <f>_xlfn.XLOOKUP(Infill[[#This Row],[g/t prom]],Rating[Max %],Rating[Name],,1)</f>
        <v>Low</v>
      </c>
      <c r="AL24" s="2" t="str">
        <f>_xlfn.XLOOKUP(Infill[[#This Row],[g/t prom]],Rating[Max %],Rating[level-to-better],,1)</f>
        <v>![level-to-better-2](https://github.com/OrcaSlicer/OrcaSlicer_WIKI/blob/main/images/misc/level-to-better-2.svg?raw=true)</v>
      </c>
      <c r="AM24" s="2" t="str">
        <f>SUBSTITUTE(LOWER(Infill[[#This Row],[name]])," ","-")</f>
        <v>tpms-fk</v>
      </c>
      <c r="AN24" t="str">
        <f>"param_"&amp;Infill[[#This Row],[infill]]</f>
        <v>param_tpmsfk</v>
      </c>
      <c r="AO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P24" s="2" t="str">
        <f>"["&amp;Infill[[#This Row],[name]]&amp;"](#"&amp;Infill[[#This Row],[nameMD]]&amp;")"</f>
        <v>[TPMS-FK](#tpms-fk)</v>
      </c>
      <c r="AQ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![infill-top-tpms-fk](https://github.com/OrcaSlicer/OrcaSlicer_WIKI/blob/main/images/fill/infill-top-tpms-fk.png?raw=true)
</v>
      </c>
      <c r="AS24" s="5" t="str">
        <f>IF(OR(Infill[[#This Row],[Is Infill]],Infill[[#This Row],[Is Surface]])," { """&amp;Infill[[#This Row],[infill]]&amp;""", "&amp;Infill[[#This Row],[ip]]&amp;" },","")</f>
        <v xml:space="preserve"> { "tpmsfk", ipTpmsFK },</v>
      </c>
      <c r="AT24" s="5" t="str">
        <f>IF(OR(Infill[[#This Row],[Is Infill]],Infill[[#This Row],[Is Surface]]),"def-&gt;enum_values.push_back("""&amp;Infill[[#This Row],[infill]]&amp;""");","")</f>
        <v>def-&gt;enum_values.push_back("tpmsfk");</v>
      </c>
      <c r="AU24" s="5" t="str">
        <f>IF(OR(Infill[[#This Row],[Is Infill]],Infill[[#This Row],[Is Surface]]),"def-&gt;enum_labels.push_back(L("""&amp;Infill[[#This Row],[name]]&amp;"""));","")</f>
        <v>def-&gt;enum_labels.push_back(L("TPMS-FK"));</v>
      </c>
      <c r="AW24" t="str">
        <f>Infill[[#This Row],[SVG Link]]</f>
        <v>&lt;img alt="param_tpmsfk" src="https://github.com/OrcaSlicer/OrcaSlicer/blob/main/resources/images/param_tpmsfk.svg?raw=true" height="45"&gt;</v>
      </c>
      <c r="AX24" s="1" t="str">
        <f>"["&amp;Infill[[#This Row],[name]]&amp;"](strength_settings_patterns#"&amp;Infill[[#This Row],[nameMD]]&amp;")"</f>
        <v>[TPMS-FK](strength_settings_patterns#tpms-fk)</v>
      </c>
      <c r="AY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Z24" s="1" t="str">
        <f>Infill[[#This Row],[Material Usage Icon]]</f>
        <v>![level-to-worse-4](https://github.com/OrcaSlicer/OrcaSlicer_WIKI/blob/main/images/misc/level-to-worse-4.svg?raw=true)</v>
      </c>
      <c r="BA24" s="1" t="str">
        <f>Infill[[#This Row],[Print Time Icon]]</f>
        <v>![level-to-worse-8](https://github.com/OrcaSlicer/OrcaSlicer_WIKI/blob/main/images/misc/level-to-worse-8.svg?raw=true)</v>
      </c>
      <c r="BB24" t="str">
        <f ca="1">Infill[[#This Row],[Layer time Variability Icon]]</f>
        <v>![level-to-worse-5](https://github.com/OrcaSlicer/OrcaSlicer_WIKI/blob/main/images/misc/level-to-worse-5.svg?raw=true)</v>
      </c>
      <c r="BC24" s="1" t="str">
        <f>Infill[[#This Row],[Multiline]]</f>
        <v>[Classic](strength_settings_infill#classic-strategy)</v>
      </c>
    </row>
    <row r="25" spans="5:55" ht="409.5" x14ac:dyDescent="0.25">
      <c r="E25">
        <v>23</v>
      </c>
      <c r="F25" t="b">
        <v>1</v>
      </c>
      <c r="G25" t="b">
        <v>0</v>
      </c>
      <c r="H25" t="b">
        <v>0</v>
      </c>
      <c r="I25" t="s">
        <v>7</v>
      </c>
      <c r="J25" t="s">
        <v>152</v>
      </c>
      <c r="K25" t="s">
        <v>94</v>
      </c>
      <c r="L25" t="s">
        <v>123</v>
      </c>
      <c r="M25" t="s">
        <v>217</v>
      </c>
      <c r="N25" t="s">
        <v>216</v>
      </c>
      <c r="O25" t="inlineStr">
        <is>
          <t>No</t>
        </is>
      </c>
      <c r="P25" s="6" t="s">
        <v>244</v>
      </c>
      <c r="Q25">
        <v>6</v>
      </c>
      <c r="R25" t="str">
        <f>_xlfn.XLOOKUP(Infill[[#This Row],[XY-N]],Rating[N],Rating[Name])</f>
        <v>High</v>
      </c>
      <c r="S25" t="str">
        <f>_xlfn.XLOOKUP(Infill[[#This Row],[XY-N]],Rating[N],Rating[level-to-better])</f>
        <v>![level-to-better-6](https://github.com/OrcaSlicer/OrcaSlicer_WIKI/blob/main/images/misc/level-to-better-6.svg?raw=true)</v>
      </c>
      <c r="T25">
        <v>6</v>
      </c>
      <c r="U25" t="str">
        <f>_xlfn.XLOOKUP(Infill[[#This Row],[Z-N]],Rating[N],Rating[Name])</f>
        <v>High</v>
      </c>
      <c r="V25" t="str">
        <f>_xlfn.XLOOKUP(Infill[[#This Row],[Z-N]],Rating[N],Rating[level-to-better])</f>
        <v>![level-to-better-6](https://github.com/OrcaSlicer/OrcaSlicer_WIKI/blob/main/images/misc/level-to-better-6.svg?raw=true)</v>
      </c>
      <c r="W25" s="11">
        <f ca="1">_xlfn.XLOOKUP(Infill[[#This Row],[infill]],Tabla7[infill],Tabla7[% 2 Sigma])</f>
        <v>0.19491611495609784</v>
      </c>
      <c r="X25" t="str">
        <f ca="1">_xlfn.XLOOKUP(Infill[[#This Row],[% 2 Sigma]],AbsRating[Max %],AbsRating[Name],,1)</f>
        <v>Unnoticeable</v>
      </c>
      <c r="Y25" t="str">
        <f ca="1">_xlfn.XLOOKUP(Infill[[#This Row],[% 2 Sigma]],AbsRating[Max %],AbsRating[icon],,1)</f>
        <v>![level-to-worse-2](https://github.com/OrcaSlicer/OrcaSlicer_WIKI/blob/main/images/misc/level-to-worse-2.svg?raw=true)</v>
      </c>
      <c r="Z25" s="2" t="s">
        <v>72</v>
      </c>
      <c r="AA25">
        <f>_xlfn.XLOOKUP(Infill[[#This Row],[infill]],Tabla7[infill],Tabla7[g])</f>
        <v>141.739</v>
      </c>
      <c r="AB25" s="2">
        <f>Infill[[#This Row],[g]]/(997.25*0.15)</f>
        <v>0.94753238071362911</v>
      </c>
      <c r="AC25" s="2" t="str">
        <f>_xlfn.XLOOKUP(Infill[[#This Row],[% Effective]],Rating[Max %],Rating[Name],,1)</f>
        <v>Normal</v>
      </c>
      <c r="AD25" s="2" t="str">
        <f>_xlfn.XLOOKUP(Infill[[#This Row],[% Effective]],Rating[Max %],Rating[level-to-worse],,1)</f>
        <v>![level-to-worse-4](https://github.com/OrcaSlicer/OrcaSlicer_WIKI/blob/main/images/misc/level-to-worse-4.svg?raw=true)</v>
      </c>
      <c r="AE25">
        <f>_xlfn.XLOOKUP(Infill[[#This Row],[infill]],Tabla7[infill],Tabla7[Total Time])</f>
        <v>609.35799999999995</v>
      </c>
      <c r="AF25" s="2">
        <f>Infill[[#This Row],[Total Time]]/AVERAGEIFS(Infill[Total Time],Infill[Material Usage Icon],_xlfn.XLOOKUP("Normal",Rating[Name],Rating[level-to-worse]))</f>
        <v>2.000287377974403</v>
      </c>
      <c r="AG25" s="2" t="str">
        <f>_xlfn.XLOOKUP(Infill[[#This Row],[t prom]],Rating[Max %],Rating[Name],,1)</f>
        <v>Ultra-High</v>
      </c>
      <c r="AH25" s="2" t="str">
        <f>_xlfn.XLOOKUP(Infill[[#This Row],[t prom]],Rating[Max %],Rating[level-to-worse],,1)</f>
        <v>![level-to-worse-8](https://github.com/OrcaSlicer/OrcaSlicer_WIKI/blob/main/images/misc/level-to-worse-8.svg?raw=true)</v>
      </c>
      <c r="AI25" s="3">
        <f>Infill[[#This Row],[g]]/Infill[[#This Row],[Total Time]]</f>
        <v>0.23260382238355781</v>
      </c>
      <c r="AJ25" s="2">
        <f>Infill[[#This Row],[g/t]]/AVERAGEIFS(Infill[g/t],Infill[Material Usage Icon],_xlfn.XLOOKUP("Normal",Rating[Name],Rating[level-to-worse]))</f>
        <v>0.42692243014006354</v>
      </c>
      <c r="AK25" s="2" t="str">
        <f>_xlfn.XLOOKUP(Infill[[#This Row],[g/t prom]],Rating[Max %],Rating[Name],,1)</f>
        <v>Low</v>
      </c>
      <c r="AL25" s="1" t="str">
        <f>_xlfn.XLOOKUP(Infill[[#This Row],[g/t prom]],Rating[Max %],Rating[level-to-better],,1)</f>
        <v>![level-to-better-2](https://github.com/OrcaSlicer/OrcaSlicer_WIKI/blob/main/images/misc/level-to-better-2.svg?raw=true)</v>
      </c>
      <c r="AM25" s="2" t="str">
        <f>SUBSTITUTE(LOWER(Infill[[#This Row],[name]])," ","-")</f>
        <v>gyroid</v>
      </c>
      <c r="AN25" t="str">
        <f>"param_"&amp;Infill[[#This Row],[infill]]</f>
        <v>param_gyroid</v>
      </c>
      <c r="AO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P25" s="2" t="str">
        <f>"["&amp;Infill[[#This Row],[name]]&amp;"](#"&amp;Infill[[#This Row],[nameMD]]&amp;")"</f>
        <v>[Gyroid](#gyroid)</v>
      </c>
      <c r="AQ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R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Since it does not contain straight lines over long stretches, it helps reduce warping, as the material's contraction is distributed along its curved lines. This pattern may require more time to slice because of all the points needed to generate each curve. If your model has complex geometry, consider using a simpler infill pattern like [TPMS-D](#tpms-d) or [Cross Hatch](#cross-hatch).
### Gyroid Optimized
Tightens the gyroid wave along the Z (vertical) axis at low infill density to shorten the effective vertical column length and improve Z-axis compression buckling resistance. Filament use is preserved. No effect at ~30% sparse infill density and above. Only applies when Sparse infill pattern is set to Gyroid.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![infill-top-gyroid](https://github.com/OrcaSlicer/OrcaSlicer_WIKI/blob/main/images/fill/infill-top-gyroid.png?raw=true)
</v>
      </c>
      <c r="AS25" t="str">
        <f>IF(OR(Infill[[#This Row],[Is Infill]],Infill[[#This Row],[Is Surface]])," { """&amp;Infill[[#This Row],[infill]]&amp;""", "&amp;Infill[[#This Row],[ip]]&amp;" },","")</f>
        <v xml:space="preserve"> { "gyroid", ipGyroid },</v>
      </c>
      <c r="AT25" t="str">
        <f>IF(OR(Infill[[#This Row],[Is Infill]],Infill[[#This Row],[Is Surface]]),"def-&gt;enum_values.push_back("""&amp;Infill[[#This Row],[infill]]&amp;""");","")</f>
        <v>def-&gt;enum_values.push_back("gyroid");</v>
      </c>
      <c r="AU25" t="str">
        <f>IF(OR(Infill[[#This Row],[Is Infill]],Infill[[#This Row],[Is Surface]]),"def-&gt;enum_labels.push_back(L("""&amp;Infill[[#This Row],[name]]&amp;"""));","")</f>
        <v>def-&gt;enum_labels.push_back(L("Gyroid"));</v>
      </c>
      <c r="AW25" t="str">
        <f>Infill[[#This Row],[SVG Link]]</f>
        <v>&lt;img alt="param_gyroid" src="https://github.com/OrcaSlicer/OrcaSlicer/blob/main/resources/images/param_gyroid.svg?raw=true" height="45"&gt;</v>
      </c>
      <c r="AX25" s="1" t="str">
        <f>"["&amp;Infill[[#This Row],[name]]&amp;"](strength_settings_patterns#"&amp;Infill[[#This Row],[nameMD]]&amp;")"</f>
        <v>[Gyroid](strength_settings_patterns#gyroid)</v>
      </c>
      <c r="AY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Z25" s="1" t="str">
        <f>Infill[[#This Row],[Material Usage Icon]]</f>
        <v>![level-to-worse-4](https://github.com/OrcaSlicer/OrcaSlicer_WIKI/blob/main/images/misc/level-to-worse-4.svg?raw=true)</v>
      </c>
      <c r="BA25" s="1" t="str">
        <f>Infill[[#This Row],[Print Time Icon]]</f>
        <v>![level-to-worse-8](https://github.com/OrcaSlicer/OrcaSlicer_WIKI/blob/main/images/misc/level-to-worse-8.svg?raw=true)</v>
      </c>
      <c r="BB25" t="str">
        <f ca="1">Infill[[#This Row],[Layer time Variability Icon]]</f>
        <v>![level-to-worse-2](https://github.com/OrcaSlicer/OrcaSlicer_WIKI/blob/main/images/misc/level-to-worse-2.svg?raw=true)</v>
      </c>
      <c r="BC25" s="1" t="str">
        <f>Infill[[#This Row],[Multiline]]</f>
        <v>[Classic](strength_settings_infill#classic-strategy)</v>
      </c>
    </row>
    <row r="26" spans="5:55" ht="345" x14ac:dyDescent="0.25">
      <c r="E26">
        <v>24</v>
      </c>
      <c r="F26" t="b">
        <v>1</v>
      </c>
      <c r="G26" t="b">
        <v>1</v>
      </c>
      <c r="H26" t="b">
        <v>1</v>
      </c>
      <c r="I26" t="s">
        <v>0</v>
      </c>
      <c r="J26" t="s">
        <v>181</v>
      </c>
      <c r="K26" t="s">
        <v>87</v>
      </c>
      <c r="L26" t="s">
        <v>117</v>
      </c>
      <c r="M26" t="s">
        <v>217</v>
      </c>
      <c r="N26" t="s">
        <v>216</v>
      </c>
      <c r="O26" t="inlineStr">
        <is>
          <t>Yes</t>
        </is>
      </c>
      <c r="P26" s="8" t="s">
        <v>51</v>
      </c>
      <c r="Q26" s="5">
        <v>2</v>
      </c>
      <c r="R26" s="5" t="str">
        <f>_xlfn.XLOOKUP(Infill[[#This Row],[XY-N]],Rating[N],Rating[Name])</f>
        <v>Low</v>
      </c>
      <c r="S26" t="str">
        <f>_xlfn.XLOOKUP(Infill[[#This Row],[XY-N]],Rating[N],Rating[level-to-better])</f>
        <v>![level-to-better-2](https://github.com/OrcaSlicer/OrcaSlicer_WIKI/blob/main/images/misc/level-to-better-2.svg?raw=true)</v>
      </c>
      <c r="T26">
        <v>4</v>
      </c>
      <c r="U26" t="str">
        <f>_xlfn.XLOOKUP(Infill[[#This Row],[Z-N]],Rating[N],Rating[Name])</f>
        <v>Normal</v>
      </c>
      <c r="V26" t="str">
        <f>_xlfn.XLOOKUP(Infill[[#This Row],[Z-N]],Rating[N],Rating[level-to-better])</f>
        <v>![level-to-better-4](https://github.com/OrcaSlicer/OrcaSlicer_WIKI/blob/main/images/misc/level-to-better-4.svg?raw=true)</v>
      </c>
      <c r="W26" s="11">
        <f ca="1">_xlfn.XLOOKUP(Infill[[#This Row],[infill]],Tabla7[infill],Tabla7[% 2 Sigma])</f>
        <v>8.4987052864082813E-5</v>
      </c>
      <c r="X26" t="str">
        <f ca="1">_xlfn.XLOOKUP(Infill[[#This Row],[% 2 Sigma]],AbsRating[Max %],AbsRating[Name],,1)</f>
        <v>None</v>
      </c>
      <c r="Y26" t="str">
        <f ca="1">_xlfn.XLOOKUP(Infill[[#This Row],[% 2 Sigma]],AbsRating[Max %],AbsRating[icon],,1)</f>
        <v>![level-to-worse-0](https://github.com/OrcaSlicer/OrcaSlicer_WIKI/blob/main/images/misc/level-to-worse-0.svg?raw=true)</v>
      </c>
      <c r="Z26" s="2" t="s">
        <v>72</v>
      </c>
      <c r="AA26">
        <f>_xlfn.XLOOKUP(Infill[[#This Row],[infill]],Tabla7[infill],Tabla7[g])</f>
        <v>157.10900000000001</v>
      </c>
      <c r="AB26" s="2">
        <f>Infill[[#This Row],[g]]/(997.25*0.15)</f>
        <v>1.0502816077546586</v>
      </c>
      <c r="AC26" s="2" t="str">
        <f>_xlfn.XLOOKUP(Infill[[#This Row],[% Effective]],Rating[Max %],Rating[Name],,1)</f>
        <v>Normal</v>
      </c>
      <c r="AD26" s="2" t="str">
        <f>_xlfn.XLOOKUP(Infill[[#This Row],[% Effective]],Rating[Max %],Rating[level-to-worse],,1)</f>
        <v>![level-to-worse-4](https://github.com/OrcaSlicer/OrcaSlicer_WIKI/blob/main/images/misc/level-to-worse-4.svg?raw=true)</v>
      </c>
      <c r="AE26">
        <f>_xlfn.XLOOKUP(Infill[[#This Row],[infill]],Tabla7[infill],Tabla7[Total Time])</f>
        <v>238.51</v>
      </c>
      <c r="AF26" s="2">
        <f>Infill[[#This Row],[Total Time]]/AVERAGEIFS(Infill[Total Time],Infill[Material Usage Icon],_xlfn.XLOOKUP("Normal",Rating[Name],Rating[level-to-worse]))</f>
        <v>0.78293637323326337</v>
      </c>
      <c r="AG26" s="2" t="str">
        <f>_xlfn.XLOOKUP(Infill[[#This Row],[t prom]],Rating[Max %],Rating[Name],,1)</f>
        <v>Normal-Low</v>
      </c>
      <c r="AH26" s="2" t="str">
        <f>_xlfn.XLOOKUP(Infill[[#This Row],[t prom]],Rating[Max %],Rating[level-to-worse],,1)</f>
        <v>![level-to-worse-3](https://github.com/OrcaSlicer/OrcaSlicer_WIKI/blob/main/images/misc/level-to-worse-3.svg?raw=true)</v>
      </c>
      <c r="AI26" s="3">
        <f>Infill[[#This Row],[g]]/Infill[[#This Row],[Total Time]]</f>
        <v>0.65871032661104367</v>
      </c>
      <c r="AJ26" s="2">
        <f>Infill[[#This Row],[g/t]]/AVERAGEIFS(Infill[g/t],Infill[Material Usage Icon],_xlfn.XLOOKUP("Normal",Rating[Name],Rating[level-to-worse]))</f>
        <v>1.2090008260114489</v>
      </c>
      <c r="AK26" s="2" t="str">
        <f>_xlfn.XLOOKUP(Infill[[#This Row],[g/t prom]],Rating[Max %],Rating[Name],,1)</f>
        <v>Normal-High</v>
      </c>
      <c r="AL26" s="1" t="str">
        <f>_xlfn.XLOOKUP(Infill[[#This Row],[g/t prom]],Rating[Max %],Rating[level-to-better],,1)</f>
        <v>![level-to-better-5](https://github.com/OrcaSlicer/OrcaSlicer_WIKI/blob/main/images/misc/level-to-better-5.svg?raw=true)</v>
      </c>
      <c r="AM26" s="2" t="str">
        <f>SUBSTITUTE(LOWER(Infill[[#This Row],[name]])," ","-")</f>
        <v>concentric</v>
      </c>
      <c r="AN26" t="str">
        <f>"param_"&amp;Infill[[#This Row],[infill]]</f>
        <v>param_concentric</v>
      </c>
      <c r="AO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P26" s="2" t="str">
        <f>"["&amp;Infill[[#This Row],[name]]&amp;"](#"&amp;Infill[[#This Row],[nameMD]]&amp;")"</f>
        <v>[Concentric](#concentric)</v>
      </c>
      <c r="AQ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R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S26" t="str">
        <f>IF(OR(Infill[[#This Row],[Is Infill]],Infill[[#This Row],[Is Surface]])," { """&amp;Infill[[#This Row],[infill]]&amp;""", "&amp;Infill[[#This Row],[ip]]&amp;" },","")</f>
        <v xml:space="preserve"> { "concentric", ipConcentric },</v>
      </c>
      <c r="AT26" t="str">
        <f>IF(OR(Infill[[#This Row],[Is Infill]],Infill[[#This Row],[Is Surface]]),"def-&gt;enum_values.push_back("""&amp;Infill[[#This Row],[infill]]&amp;""");","")</f>
        <v>def-&gt;enum_values.push_back("concentric");</v>
      </c>
      <c r="AU26" t="str">
        <f>IF(OR(Infill[[#This Row],[Is Infill]],Infill[[#This Row],[Is Surface]]),"def-&gt;enum_labels.push_back(L("""&amp;Infill[[#This Row],[name]]&amp;"""));","")</f>
        <v>def-&gt;enum_labels.push_back(L("Concentric"));</v>
      </c>
      <c r="AW26" t="str">
        <f>Infill[[#This Row],[SVG Link]]</f>
        <v>&lt;img alt="param_concentric" src="https://github.com/OrcaSlicer/OrcaSlicer/blob/main/resources/images/param_concentric.svg?raw=true" height="45"&gt;</v>
      </c>
      <c r="AX26" s="1" t="str">
        <f>"["&amp;Infill[[#This Row],[name]]&amp;"](strength_settings_patterns#"&amp;Infill[[#This Row],[nameMD]]&amp;")"</f>
        <v>[Concentric](strength_settings_patterns#concentric)</v>
      </c>
      <c r="AY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6" s="1" t="str">
        <f>Infill[[#This Row],[Material Usage Icon]]</f>
        <v>![level-to-worse-4](https://github.com/OrcaSlicer/OrcaSlicer_WIKI/blob/main/images/misc/level-to-worse-4.svg?raw=true)</v>
      </c>
      <c r="BA26" s="1" t="str">
        <f>Infill[[#This Row],[Print Time Icon]]</f>
        <v>![level-to-worse-3](https://github.com/OrcaSlicer/OrcaSlicer_WIKI/blob/main/images/misc/level-to-worse-3.svg?raw=true)</v>
      </c>
      <c r="BB26" t="str">
        <f ca="1">Infill[[#This Row],[Layer time Variability Icon]]</f>
        <v>![level-to-worse-0](https://github.com/OrcaSlicer/OrcaSlicer_WIKI/blob/main/images/misc/level-to-worse-0.svg?raw=true)</v>
      </c>
      <c r="BC26" s="1" t="str">
        <f>Infill[[#This Row],[Multiline]]</f>
        <v>[Classic](strength_settings_infill#classic-strategy)</v>
      </c>
    </row>
    <row r="27" spans="5:55" ht="345" x14ac:dyDescent="0.25">
      <c r="E27">
        <v>25</v>
      </c>
      <c r="F27" t="b">
        <v>1</v>
      </c>
      <c r="G27" t="b">
        <v>1</v>
      </c>
      <c r="H27" t="b">
        <v>0</v>
      </c>
      <c r="I27" t="s">
        <v>13</v>
      </c>
      <c r="J27" t="s">
        <v>181</v>
      </c>
      <c r="K27" t="s">
        <v>102</v>
      </c>
      <c r="L27" t="s">
        <v>129</v>
      </c>
      <c r="M27" t="s">
        <v>217</v>
      </c>
      <c r="N27" t="s">
        <v>216</v>
      </c>
      <c r="O27" t="inlineStr">
        <is>
          <t>Yes</t>
        </is>
      </c>
      <c r="P27" s="6" t="s">
        <v>183</v>
      </c>
      <c r="Q27">
        <v>2</v>
      </c>
      <c r="R27" t="str">
        <f>_xlfn.XLOOKUP(Infill[[#This Row],[XY-N]],Rating[N],Rating[Name])</f>
        <v>Low</v>
      </c>
      <c r="S27" t="str">
        <f>_xlfn.XLOOKUP(Infill[[#This Row],[XY-N]],Rating[N],Rating[level-to-better])</f>
        <v>![level-to-better-2](https://github.com/OrcaSlicer/OrcaSlicer_WIKI/blob/main/images/misc/level-to-better-2.svg?raw=true)</v>
      </c>
      <c r="T27">
        <v>4</v>
      </c>
      <c r="U27" t="str">
        <f>_xlfn.XLOOKUP(Infill[[#This Row],[Z-N]],Rating[N],Rating[Name])</f>
        <v>Normal</v>
      </c>
      <c r="V27" t="str">
        <f>_xlfn.XLOOKUP(Infill[[#This Row],[Z-N]],Rating[N],Rating[level-to-better])</f>
        <v>![level-to-better-4](https://github.com/OrcaSlicer/OrcaSlicer_WIKI/blob/main/images/misc/level-to-better-4.svg?raw=true)</v>
      </c>
      <c r="W27" s="11">
        <f ca="1">_xlfn.XLOOKUP(Infill[[#This Row],[infill]],Tabla7[infill],Tabla7[% 2 Sigma])</f>
        <v>5.0426146631583624E-3</v>
      </c>
      <c r="X27" t="str">
        <f ca="1">_xlfn.XLOOKUP(Infill[[#This Row],[% 2 Sigma]],AbsRating[Max %],AbsRating[Name],,1)</f>
        <v>None</v>
      </c>
      <c r="Y27" t="str">
        <f ca="1">_xlfn.XLOOKUP(Infill[[#This Row],[% 2 Sigma]],AbsRating[Max %],AbsRating[icon],,1)</f>
        <v>![level-to-worse-0](https://github.com/OrcaSlicer/OrcaSlicer_WIKI/blob/main/images/misc/level-to-worse-0.svg?raw=true)</v>
      </c>
      <c r="Z27" s="2" t="s">
        <v>72</v>
      </c>
      <c r="AA27">
        <f>_xlfn.XLOOKUP(Infill[[#This Row],[infill]],Tabla7[infill],Tabla7[g])</f>
        <v>149.018</v>
      </c>
      <c r="AB27" s="2">
        <f>Infill[[#This Row],[g]]/(997.25*0.15)</f>
        <v>0.99619286370853177</v>
      </c>
      <c r="AC27" s="2" t="str">
        <f>_xlfn.XLOOKUP(Infill[[#This Row],[% Effective]],Rating[Max %],Rating[Name],,1)</f>
        <v>Normal</v>
      </c>
      <c r="AD27" s="2" t="str">
        <f>_xlfn.XLOOKUP(Infill[[#This Row],[% Effective]],Rating[Max %],Rating[level-to-worse],,1)</f>
        <v>![level-to-worse-4](https://github.com/OrcaSlicer/OrcaSlicer_WIKI/blob/main/images/misc/level-to-worse-4.svg?raw=true)</v>
      </c>
      <c r="AE27">
        <f>_xlfn.XLOOKUP(Infill[[#This Row],[infill]],Tabla7[infill],Tabla7[Total Time])</f>
        <v>509.63600000000002</v>
      </c>
      <c r="AF27" s="2">
        <f>Infill[[#This Row],[Total Time]]/AVERAGEIFS(Infill[Total Time],Infill[Material Usage Icon],_xlfn.XLOOKUP("Normal",Rating[Name],Rating[level-to-worse]))</f>
        <v>1.6729384994721705</v>
      </c>
      <c r="AG27" s="2" t="str">
        <f>_xlfn.XLOOKUP(Infill[[#This Row],[t prom]],Rating[Max %],Rating[Name],,1)</f>
        <v>Extra-High</v>
      </c>
      <c r="AH27" s="2" t="str">
        <f>_xlfn.XLOOKUP(Infill[[#This Row],[t prom]],Rating[Max %],Rating[level-to-worse],,1)</f>
        <v>![level-to-worse-7](https://github.com/OrcaSlicer/OrcaSlicer_WIKI/blob/main/images/misc/level-to-worse-7.svg?raw=true)</v>
      </c>
      <c r="AI27" s="3">
        <f>Infill[[#This Row],[g]]/Infill[[#This Row],[Total Time]]</f>
        <v>0.29240085080331846</v>
      </c>
      <c r="AJ27" s="2">
        <f>Infill[[#This Row],[g/t]]/AVERAGEIFS(Infill[g/t],Infill[Material Usage Icon],_xlfn.XLOOKUP("Normal",Rating[Name],Rating[level-to-worse]))</f>
        <v>0.53667424946323217</v>
      </c>
      <c r="AK27" s="2" t="str">
        <f>_xlfn.XLOOKUP(Infill[[#This Row],[g/t prom]],Rating[Max %],Rating[Name],,1)</f>
        <v>Low</v>
      </c>
      <c r="AL27" s="1" t="str">
        <f>_xlfn.XLOOKUP(Infill[[#This Row],[g/t prom]],Rating[Max %],Rating[level-to-better],,1)</f>
        <v>![level-to-better-2](https://github.com/OrcaSlicer/OrcaSlicer_WIKI/blob/main/images/misc/level-to-better-2.svg?raw=true)</v>
      </c>
      <c r="AM27" s="2" t="str">
        <f>SUBSTITUTE(LOWER(Infill[[#This Row],[name]])," ","-")</f>
        <v>hilbert-curve</v>
      </c>
      <c r="AN27" t="str">
        <f>"param_"&amp;Infill[[#This Row],[infill]]</f>
        <v>param_hilbertcurve</v>
      </c>
      <c r="AO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P27" s="2" t="str">
        <f>"["&amp;Infill[[#This Row],[name]]&amp;"](#"&amp;Infill[[#This Row],[nameMD]]&amp;")"</f>
        <v>[Hilbert Curve](#hilbert-curve)</v>
      </c>
      <c r="AQ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S27" t="str">
        <f>IF(OR(Infill[[#This Row],[Is Infill]],Infill[[#This Row],[Is Surface]])," { """&amp;Infill[[#This Row],[infill]]&amp;""", "&amp;Infill[[#This Row],[ip]]&amp;" },","")</f>
        <v xml:space="preserve"> { "hilbertcurve", ipHilbertCurve },</v>
      </c>
      <c r="AT27" t="str">
        <f>IF(OR(Infill[[#This Row],[Is Infill]],Infill[[#This Row],[Is Surface]]),"def-&gt;enum_values.push_back("""&amp;Infill[[#This Row],[infill]]&amp;""");","")</f>
        <v>def-&gt;enum_values.push_back("hilbertcurve");</v>
      </c>
      <c r="AU27" t="str">
        <f>IF(OR(Infill[[#This Row],[Is Infill]],Infill[[#This Row],[Is Surface]]),"def-&gt;enum_labels.push_back(L("""&amp;Infill[[#This Row],[name]]&amp;"""));","")</f>
        <v>def-&gt;enum_labels.push_back(L("Hilbert Curve"));</v>
      </c>
      <c r="AW27" t="str">
        <f>Infill[[#This Row],[SVG Link]]</f>
        <v>&lt;img alt="param_hilbertcurve" src="https://github.com/OrcaSlicer/OrcaSlicer/blob/main/resources/images/param_hilbertcurve.svg?raw=true" height="45"&gt;</v>
      </c>
      <c r="AX27" s="1" t="str">
        <f>"["&amp;Infill[[#This Row],[name]]&amp;"](strength_settings_patterns#"&amp;Infill[[#This Row],[nameMD]]&amp;")"</f>
        <v>[Hilbert Curve](strength_settings_patterns#hilbert-curve)</v>
      </c>
      <c r="AY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7" s="1" t="str">
        <f>Infill[[#This Row],[Material Usage Icon]]</f>
        <v>![level-to-worse-4](https://github.com/OrcaSlicer/OrcaSlicer_WIKI/blob/main/images/misc/level-to-worse-4.svg?raw=true)</v>
      </c>
      <c r="BA27" s="1" t="str">
        <f>Infill[[#This Row],[Print Time Icon]]</f>
        <v>![level-to-worse-7](https://github.com/OrcaSlicer/OrcaSlicer_WIKI/blob/main/images/misc/level-to-worse-7.svg?raw=true)</v>
      </c>
      <c r="BB27" t="str">
        <f ca="1">Infill[[#This Row],[Layer time Variability Icon]]</f>
        <v>![level-to-worse-0](https://github.com/OrcaSlicer/OrcaSlicer_WIKI/blob/main/images/misc/level-to-worse-0.svg?raw=true)</v>
      </c>
      <c r="BC27" s="1" t="str">
        <f>Infill[[#This Row],[Multiline]]</f>
        <v>[Classic](strength_settings_infill#classic-strategy)</v>
      </c>
    </row>
    <row r="28" spans="5:55" ht="330" x14ac:dyDescent="0.25">
      <c r="E28">
        <v>26</v>
      </c>
      <c r="F28" t="b">
        <v>1</v>
      </c>
      <c r="G28" t="b">
        <v>1</v>
      </c>
      <c r="H28" t="b">
        <v>0</v>
      </c>
      <c r="I28" t="s">
        <v>14</v>
      </c>
      <c r="J28" t="s">
        <v>181</v>
      </c>
      <c r="K28" t="s">
        <v>103</v>
      </c>
      <c r="L28" t="s">
        <v>130</v>
      </c>
      <c r="M28" t="s">
        <v>217</v>
      </c>
      <c r="N28" t="s">
        <v>216</v>
      </c>
      <c r="O28" t="inlineStr">
        <is>
          <t>No</t>
        </is>
      </c>
      <c r="P28" s="6" t="s">
        <v>60</v>
      </c>
      <c r="Q28">
        <v>2</v>
      </c>
      <c r="R28" t="str">
        <f>_xlfn.XLOOKUP(Infill[[#This Row],[XY-N]],Rating[N],Rating[Name])</f>
        <v>Low</v>
      </c>
      <c r="S28" t="str">
        <f>_xlfn.XLOOKUP(Infill[[#This Row],[XY-N]],Rating[N],Rating[level-to-better])</f>
        <v>![level-to-better-2](https://github.com/OrcaSlicer/OrcaSlicer_WIKI/blob/main/images/misc/level-to-better-2.svg?raw=true)</v>
      </c>
      <c r="T28">
        <v>4</v>
      </c>
      <c r="U28" t="str">
        <f>_xlfn.XLOOKUP(Infill[[#This Row],[Z-N]],Rating[N],Rating[Name])</f>
        <v>Normal</v>
      </c>
      <c r="V28" t="str">
        <f>_xlfn.XLOOKUP(Infill[[#This Row],[Z-N]],Rating[N],Rating[level-to-better])</f>
        <v>![level-to-better-4](https://github.com/OrcaSlicer/OrcaSlicer_WIKI/blob/main/images/misc/level-to-better-4.svg?raw=true)</v>
      </c>
      <c r="W28" s="11">
        <f ca="1">_xlfn.XLOOKUP(Infill[[#This Row],[infill]],Tabla7[infill],Tabla7[% 2 Sigma])</f>
        <v>5.0911330595770909E-3</v>
      </c>
      <c r="X28" t="str">
        <f ca="1">_xlfn.XLOOKUP(Infill[[#This Row],[% 2 Sigma]],AbsRating[Max %],AbsRating[Name],,1)</f>
        <v>None</v>
      </c>
      <c r="Y28" t="str">
        <f ca="1">_xlfn.XLOOKUP(Infill[[#This Row],[% 2 Sigma]],AbsRating[Max %],AbsRating[icon],,1)</f>
        <v>![level-to-worse-0](https://github.com/OrcaSlicer/OrcaSlicer_WIKI/blob/main/images/misc/level-to-worse-0.svg?raw=true)</v>
      </c>
      <c r="Z28" s="2" t="s">
        <v>72</v>
      </c>
      <c r="AA28">
        <f>_xlfn.XLOOKUP(Infill[[#This Row],[infill]],Tabla7[infill],Tabla7[g])</f>
        <v>148.822</v>
      </c>
      <c r="AB28" s="2">
        <f>Infill[[#This Row],[g]]/(997.25*0.15)</f>
        <v>0.99488259379961563</v>
      </c>
      <c r="AC28" s="2" t="str">
        <f>_xlfn.XLOOKUP(Infill[[#This Row],[% Effective]],Rating[Max %],Rating[Name],,1)</f>
        <v>Normal</v>
      </c>
      <c r="AD28" s="2" t="str">
        <f>_xlfn.XLOOKUP(Infill[[#This Row],[% Effective]],Rating[Max %],Rating[level-to-worse],,1)</f>
        <v>![level-to-worse-4](https://github.com/OrcaSlicer/OrcaSlicer_WIKI/blob/main/images/misc/level-to-worse-4.svg?raw=true)</v>
      </c>
      <c r="AE28">
        <f>_xlfn.XLOOKUP(Infill[[#This Row],[infill]],Tabla7[infill],Tabla7[Total Time])</f>
        <v>244.00399999999999</v>
      </c>
      <c r="AF28" s="2">
        <f>Infill[[#This Row],[Total Time]]/AVERAGEIFS(Infill[Total Time],Infill[Material Usage Icon],_xlfn.XLOOKUP("Normal",Rating[Name],Rating[level-to-worse]))</f>
        <v>0.80097105703915639</v>
      </c>
      <c r="AG28" s="2" t="str">
        <f>_xlfn.XLOOKUP(Infill[[#This Row],[t prom]],Rating[Max %],Rating[Name],,1)</f>
        <v>Normal-Low</v>
      </c>
      <c r="AH28" s="2" t="str">
        <f>_xlfn.XLOOKUP(Infill[[#This Row],[t prom]],Rating[Max %],Rating[level-to-worse],,1)</f>
        <v>![level-to-worse-3](https://github.com/OrcaSlicer/OrcaSlicer_WIKI/blob/main/images/misc/level-to-worse-3.svg?raw=true)</v>
      </c>
      <c r="AI28" s="3">
        <f>Infill[[#This Row],[g]]/Infill[[#This Row],[Total Time]]</f>
        <v>0.60991623088146096</v>
      </c>
      <c r="AJ28" s="2">
        <f>Infill[[#This Row],[g/t]]/AVERAGEIFS(Infill[g/t],Infill[Material Usage Icon],_xlfn.XLOOKUP("Normal",Rating[Name],Rating[level-to-worse]))</f>
        <v>1.1194438543680074</v>
      </c>
      <c r="AK28" s="2" t="str">
        <f>_xlfn.XLOOKUP(Infill[[#This Row],[g/t prom]],Rating[Max %],Rating[Name],,1)</f>
        <v>Normal-High</v>
      </c>
      <c r="AL28" s="1" t="str">
        <f>_xlfn.XLOOKUP(Infill[[#This Row],[g/t prom]],Rating[Max %],Rating[level-to-better],,1)</f>
        <v>![level-to-better-5](https://github.com/OrcaSlicer/OrcaSlicer_WIKI/blob/main/images/misc/level-to-better-5.svg?raw=true)</v>
      </c>
      <c r="AM28" s="2" t="str">
        <f>SUBSTITUTE(LOWER(Infill[[#This Row],[name]])," ","-")</f>
        <v>archimedean-chords</v>
      </c>
      <c r="AN28" t="str">
        <f>"param_"&amp;Infill[[#This Row],[infill]]</f>
        <v>param_archimedeanchords</v>
      </c>
      <c r="AO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P28" s="2" t="str">
        <f>"["&amp;Infill[[#This Row],[name]]&amp;"](#"&amp;Infill[[#This Row],[nameMD]]&amp;")"</f>
        <v>[Archimedean Chords](#archimedean-chords)</v>
      </c>
      <c r="AQ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S28" t="str">
        <f>IF(OR(Infill[[#This Row],[Is Infill]],Infill[[#This Row],[Is Surface]])," { """&amp;Infill[[#This Row],[infill]]&amp;""", "&amp;Infill[[#This Row],[ip]]&amp;" },","")</f>
        <v xml:space="preserve"> { "archimedeanchords", ipArchimedeanChords },</v>
      </c>
      <c r="AT28" t="str">
        <f>IF(OR(Infill[[#This Row],[Is Infill]],Infill[[#This Row],[Is Surface]]),"def-&gt;enum_values.push_back("""&amp;Infill[[#This Row],[infill]]&amp;""");","")</f>
        <v>def-&gt;enum_values.push_back("archimedeanchords");</v>
      </c>
      <c r="AU28" t="str">
        <f>IF(OR(Infill[[#This Row],[Is Infill]],Infill[[#This Row],[Is Surface]]),"def-&gt;enum_labels.push_back(L("""&amp;Infill[[#This Row],[name]]&amp;"""));","")</f>
        <v>def-&gt;enum_labels.push_back(L("Archimedean Chords"));</v>
      </c>
      <c r="AW28" t="str">
        <f>Infill[[#This Row],[SVG Link]]</f>
        <v>&lt;img alt="param_archimedeanchords" src="https://github.com/OrcaSlicer/OrcaSlicer/blob/main/resources/images/param_archimedeanchords.svg?raw=true" height="45"&gt;</v>
      </c>
      <c r="AX28" s="1" t="str">
        <f>"["&amp;Infill[[#This Row],[name]]&amp;"](strength_settings_patterns#"&amp;Infill[[#This Row],[nameMD]]&amp;")"</f>
        <v>[Archimedean Chords](strength_settings_patterns#archimedean-chords)</v>
      </c>
      <c r="AY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8" s="1" t="str">
        <f>Infill[[#This Row],[Material Usage Icon]]</f>
        <v>![level-to-worse-4](https://github.com/OrcaSlicer/OrcaSlicer_WIKI/blob/main/images/misc/level-to-worse-4.svg?raw=true)</v>
      </c>
      <c r="BA28" s="1" t="str">
        <f>Infill[[#This Row],[Print Time Icon]]</f>
        <v>![level-to-worse-3](https://github.com/OrcaSlicer/OrcaSlicer_WIKI/blob/main/images/misc/level-to-worse-3.svg?raw=true)</v>
      </c>
      <c r="BB28" t="str">
        <f ca="1">Infill[[#This Row],[Layer time Variability Icon]]</f>
        <v>![level-to-worse-0](https://github.com/OrcaSlicer/OrcaSlicer_WIKI/blob/main/images/misc/level-to-worse-0.svg?raw=true)</v>
      </c>
      <c r="BC28" s="1" t="str">
        <f>Infill[[#This Row],[Multiline]]</f>
        <v>[Classic](strength_settings_infill#classic-strategy)</v>
      </c>
    </row>
    <row r="29" spans="5:55" ht="330" x14ac:dyDescent="0.25">
      <c r="E29">
        <v>27</v>
      </c>
      <c r="F29" t="b">
        <v>1</v>
      </c>
      <c r="G29" t="b">
        <v>1</v>
      </c>
      <c r="H29" t="b">
        <v>0</v>
      </c>
      <c r="I29" t="s">
        <v>15</v>
      </c>
      <c r="J29" t="s">
        <v>181</v>
      </c>
      <c r="K29" t="s">
        <v>104</v>
      </c>
      <c r="L29" t="s">
        <v>131</v>
      </c>
      <c r="M29" t="s">
        <v>217</v>
      </c>
      <c r="N29" t="s">
        <v>216</v>
      </c>
      <c r="O29" t="inlineStr">
        <is>
          <t>Yes</t>
        </is>
      </c>
      <c r="P29" s="6" t="s">
        <v>182</v>
      </c>
      <c r="Q29">
        <v>2</v>
      </c>
      <c r="R29" t="str">
        <f>_xlfn.XLOOKUP(Infill[[#This Row],[XY-N]],Rating[N],Rating[Name])</f>
        <v>Low</v>
      </c>
      <c r="S29" t="str">
        <f>_xlfn.XLOOKUP(Infill[[#This Row],[XY-N]],Rating[N],Rating[level-to-better])</f>
        <v>![level-to-better-2](https://github.com/OrcaSlicer/OrcaSlicer_WIKI/blob/main/images/misc/level-to-better-2.svg?raw=true)</v>
      </c>
      <c r="T29">
        <v>4</v>
      </c>
      <c r="U29" t="str">
        <f>_xlfn.XLOOKUP(Infill[[#This Row],[Z-N]],Rating[N],Rating[Name])</f>
        <v>Normal</v>
      </c>
      <c r="V29" t="str">
        <f>_xlfn.XLOOKUP(Infill[[#This Row],[Z-N]],Rating[N],Rating[level-to-better])</f>
        <v>![level-to-better-4](https://github.com/OrcaSlicer/OrcaSlicer_WIKI/blob/main/images/misc/level-to-better-4.svg?raw=true)</v>
      </c>
      <c r="W29" s="11">
        <f ca="1">_xlfn.XLOOKUP(Infill[[#This Row],[infill]],Tabla7[infill],Tabla7[% 2 Sigma])</f>
        <v>7.1326270107181511E-3</v>
      </c>
      <c r="X29" t="str">
        <f ca="1">_xlfn.XLOOKUP(Infill[[#This Row],[% 2 Sigma]],AbsRating[Max %],AbsRating[Name],,1)</f>
        <v>None</v>
      </c>
      <c r="Y29" t="str">
        <f ca="1">_xlfn.XLOOKUP(Infill[[#This Row],[% 2 Sigma]],AbsRating[Max %],AbsRating[icon],,1)</f>
        <v>![level-to-worse-0](https://github.com/OrcaSlicer/OrcaSlicer_WIKI/blob/main/images/misc/level-to-worse-0.svg?raw=true)</v>
      </c>
      <c r="Z29" s="2" t="s">
        <v>72</v>
      </c>
      <c r="AA29">
        <f>_xlfn.XLOOKUP(Infill[[#This Row],[infill]],Tabla7[infill],Tabla7[g])</f>
        <v>148.61600000000001</v>
      </c>
      <c r="AB29" s="2">
        <f>Infill[[#This Row],[g]]/(997.25*0.15)</f>
        <v>0.9935054733851425</v>
      </c>
      <c r="AC29" s="2" t="str">
        <f>_xlfn.XLOOKUP(Infill[[#This Row],[% Effective]],Rating[Max %],Rating[Name],,1)</f>
        <v>Normal</v>
      </c>
      <c r="AD29" s="2" t="str">
        <f>_xlfn.XLOOKUP(Infill[[#This Row],[% Effective]],Rating[Max %],Rating[level-to-worse],,1)</f>
        <v>![level-to-worse-4](https://github.com/OrcaSlicer/OrcaSlicer_WIKI/blob/main/images/misc/level-to-worse-4.svg?raw=true)</v>
      </c>
      <c r="AE29">
        <f>_xlfn.XLOOKUP(Infill[[#This Row],[infill]],Tabla7[infill],Tabla7[Total Time])</f>
        <v>283.7</v>
      </c>
      <c r="AF29" s="2">
        <f>Infill[[#This Row],[Total Time]]/AVERAGEIFS(Infill[Total Time],Infill[Material Usage Icon],_xlfn.XLOOKUP("Normal",Rating[Name],Rating[level-to-worse]))</f>
        <v>0.93127772037347201</v>
      </c>
      <c r="AG29" s="2" t="str">
        <f>_xlfn.XLOOKUP(Infill[[#This Row],[t prom]],Rating[Max %],Rating[Name],,1)</f>
        <v>Normal</v>
      </c>
      <c r="AH29" s="2" t="str">
        <f>_xlfn.XLOOKUP(Infill[[#This Row],[t prom]],Rating[Max %],Rating[level-to-worse],,1)</f>
        <v>![level-to-worse-4](https://github.com/OrcaSlicer/OrcaSlicer_WIKI/blob/main/images/misc/level-to-worse-4.svg?raw=true)</v>
      </c>
      <c r="AI29" s="3">
        <f>Infill[[#This Row],[g]]/Infill[[#This Row],[Total Time]]</f>
        <v>0.52384913641170261</v>
      </c>
      <c r="AJ29" s="2">
        <f>Infill[[#This Row],[g/t]]/AVERAGEIFS(Infill[g/t],Infill[Material Usage Icon],_xlfn.XLOOKUP("Normal",Rating[Name],Rating[level-to-worse]))</f>
        <v>0.96147580057767135</v>
      </c>
      <c r="AK29" s="2" t="str">
        <f>_xlfn.XLOOKUP(Infill[[#This Row],[g/t prom]],Rating[Max %],Rating[Name],,1)</f>
        <v>Normal</v>
      </c>
      <c r="AL29" s="1" t="str">
        <f>_xlfn.XLOOKUP(Infill[[#This Row],[g/t prom]],Rating[Max %],Rating[level-to-better],,1)</f>
        <v>![level-to-better-4](https://github.com/OrcaSlicer/OrcaSlicer_WIKI/blob/main/images/misc/level-to-better-4.svg?raw=true)</v>
      </c>
      <c r="AM29" s="2" t="str">
        <f>SUBSTITUTE(LOWER(Infill[[#This Row],[name]])," ","-")</f>
        <v>octagram-spiral</v>
      </c>
      <c r="AN29" t="str">
        <f>"param_"&amp;Infill[[#This Row],[infill]]</f>
        <v>param_octagramspiral</v>
      </c>
      <c r="AO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P29" s="2" t="str">
        <f>"["&amp;Infill[[#This Row],[name]]&amp;"](#"&amp;Infill[[#This Row],[nameMD]]&amp;")"</f>
        <v>[Octagram Spiral](#octagram-spiral)</v>
      </c>
      <c r="AQ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R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S29" t="str">
        <f>IF(OR(Infill[[#This Row],[Is Infill]],Infill[[#This Row],[Is Surface]])," { """&amp;Infill[[#This Row],[infill]]&amp;""", "&amp;Infill[[#This Row],[ip]]&amp;" },","")</f>
        <v xml:space="preserve"> { "octagramspiral", ipOctagramSpiral },</v>
      </c>
      <c r="AT29" t="str">
        <f>IF(OR(Infill[[#This Row],[Is Infill]],Infill[[#This Row],[Is Surface]]),"def-&gt;enum_values.push_back("""&amp;Infill[[#This Row],[infill]]&amp;""");","")</f>
        <v>def-&gt;enum_values.push_back("octagramspiral");</v>
      </c>
      <c r="AU29" t="str">
        <f>IF(OR(Infill[[#This Row],[Is Infill]],Infill[[#This Row],[Is Surface]]),"def-&gt;enum_labels.push_back(L("""&amp;Infill[[#This Row],[name]]&amp;"""));","")</f>
        <v>def-&gt;enum_labels.push_back(L("Octagram Spiral"));</v>
      </c>
      <c r="AW29" t="str">
        <f>Infill[[#This Row],[SVG Link]]</f>
        <v>&lt;img alt="param_octagramspiral" src="https://github.com/OrcaSlicer/OrcaSlicer/blob/main/resources/images/param_octagramspiral.svg?raw=true" height="45"&gt;</v>
      </c>
      <c r="AX29" s="1" t="str">
        <f>"["&amp;Infill[[#This Row],[name]]&amp;"](strength_settings_patterns#"&amp;Infill[[#This Row],[nameMD]]&amp;")"</f>
        <v>[Octagram Spiral](strength_settings_patterns#octagram-spiral)</v>
      </c>
      <c r="AY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Z29" s="1" t="str">
        <f>Infill[[#This Row],[Material Usage Icon]]</f>
        <v>![level-to-worse-4](https://github.com/OrcaSlicer/OrcaSlicer_WIKI/blob/main/images/misc/level-to-worse-4.svg?raw=true)</v>
      </c>
      <c r="BA29" s="1" t="str">
        <f>Infill[[#This Row],[Print Time Icon]]</f>
        <v>![level-to-worse-4](https://github.com/OrcaSlicer/OrcaSlicer_WIKI/blob/main/images/misc/level-to-worse-4.svg?raw=true)</v>
      </c>
      <c r="BB29" t="str">
        <f ca="1">Infill[[#This Row],[Layer time Variability Icon]]</f>
        <v>![level-to-worse-0](https://github.com/OrcaSlicer/OrcaSlicer_WIKI/blob/main/images/misc/level-to-worse-0.svg?raw=true)</v>
      </c>
      <c r="BC29" s="1" t="str">
        <f>Infill[[#This Row],[Multiline]]</f>
        <v>[Classic](strength_settings_infill#classic-strategy)</v>
      </c>
    </row>
    <row r="30" spans="5:55" x14ac:dyDescent="0.25">
      <c r="E30">
        <v>28</v>
      </c>
      <c r="F30" t="b">
        <v>0</v>
      </c>
      <c r="G30" t="b">
        <v>0</v>
      </c>
      <c r="H30" t="b">
        <v>0</v>
      </c>
      <c r="K30" t="s">
        <v>106</v>
      </c>
      <c r="M30" t="s">
        <v>215</v>
      </c>
      <c r="N30" t="s">
        <v>215</v>
      </c>
      <c r="O30" t="inlineStr">
        <is>
          <t>N/A</t>
        </is>
      </c>
      <c r="P30" s="8"/>
      <c r="R30" t="e">
        <f>_xlfn.XLOOKUP(Infill[[#This Row],[XY-N]],Rating[N],Rating[Name])</f>
        <v>#N/A</v>
      </c>
      <c r="S30" t="e">
        <f>_xlfn.XLOOKUP(Infill[[#This Row],[XY-N]],Rating[N],Rating[level-to-better])</f>
        <v>#N/A</v>
      </c>
      <c r="U30" t="e">
        <f>_xlfn.XLOOKUP(Infill[[#This Row],[Z-N]],Rating[N],Rating[Name])</f>
        <v>#N/A</v>
      </c>
      <c r="V30" t="e">
        <f>_xlfn.XLOOKUP(Infill[[#This Row],[Z-N]],Rating[N],Rating[level-to-better])</f>
        <v>#N/A</v>
      </c>
      <c r="W30" s="11" t="e">
        <f>_xlfn.XLOOKUP(Infill[[#This Row],[infill]],Tabla7[infill],Tabla7[% 2 Sigma])</f>
        <v>#N/A</v>
      </c>
      <c r="X30" t="e">
        <f>_xlfn.XLOOKUP(Infill[[#This Row],[% 2 Sigma]],AbsRating[Max %],AbsRating[Name],,1)</f>
        <v>#N/A</v>
      </c>
      <c r="Y30" t="e">
        <f>_xlfn.XLOOKUP(Infill[[#This Row],[% 2 Sigma]],AbsRating[Max %],AbsRating[icon],,1)</f>
        <v>#N/A</v>
      </c>
      <c r="Z30" s="2"/>
      <c r="AA30" t="e">
        <f>_xlfn.XLOOKUP(Infill[[#This Row],[infill]],Tabla7[infill],Tabla7[g])</f>
        <v>#N/A</v>
      </c>
      <c r="AB30" s="2" t="e">
        <f>Infill[[#This Row],[g]]/(997.25*0.15)</f>
        <v>#N/A</v>
      </c>
      <c r="AC30" s="2" t="e">
        <f>_xlfn.XLOOKUP(Infill[[#This Row],[% Effective]],Rating[Max %],Rating[Name],,1)</f>
        <v>#N/A</v>
      </c>
      <c r="AD30" s="2" t="e">
        <f>_xlfn.XLOOKUP(Infill[[#This Row],[% Effective]],Rating[Max %],Rating[level-to-worse],,1)</f>
        <v>#N/A</v>
      </c>
      <c r="AE30" t="e">
        <f>_xlfn.XLOOKUP(Infill[[#This Row],[infill]],Tabla7[infill],Tabla7[Total Time])</f>
        <v>#N/A</v>
      </c>
      <c r="AF30" s="2" t="e">
        <f>Infill[[#This Row],[Total Time]]/AVERAGEIFS(Infill[Total Time],Infill[Material Usage Icon],_xlfn.XLOOKUP("Normal",Rating[Name],Rating[level-to-worse]))</f>
        <v>#N/A</v>
      </c>
      <c r="AG30" s="2" t="e">
        <f>_xlfn.XLOOKUP(Infill[[#This Row],[t prom]],Rating[Max %],Rating[Name],,1)</f>
        <v>#N/A</v>
      </c>
      <c r="AH30" s="2" t="e">
        <f>_xlfn.XLOOKUP(Infill[[#This Row],[t prom]],Rating[Max %],Rating[level-to-worse],,1)</f>
        <v>#N/A</v>
      </c>
      <c r="AI30" s="3" t="e">
        <f>Infill[[#This Row],[g]]/Infill[[#This Row],[Total Time]]</f>
        <v>#N/A</v>
      </c>
      <c r="AJ30" s="2" t="e">
        <f>Infill[[#This Row],[g/t]]/AVERAGEIFS(Infill[g/t],Infill[Material Usage Icon],_xlfn.XLOOKUP("Normal",Rating[Name],Rating[level-to-worse]))</f>
        <v>#N/A</v>
      </c>
      <c r="AK30" s="2" t="e">
        <f>_xlfn.XLOOKUP(Infill[[#This Row],[g/t prom]],Rating[Max %],Rating[Name],,1)</f>
        <v>#N/A</v>
      </c>
      <c r="AL30" s="2" t="e">
        <f>_xlfn.XLOOKUP(Infill[[#This Row],[g/t prom]],Rating[Max %],Rating[level-to-better],,1)</f>
        <v>#N/A</v>
      </c>
      <c r="AM30" s="2" t="str">
        <f>SUBSTITUTE(LOWER(Infill[[#This Row],[name]])," ","-")</f>
        <v/>
      </c>
      <c r="AO30" t="str">
        <f>"&lt;img alt=""" &amp; Infill[[#This Row],[SVG]] &amp; """ src=""https://github.com/OrcaSlicer/OrcaSlicer/blob/main/resources/images/" &amp; Infill[[#This Row],[SVG]] &amp; ".svg?raw=true"" height=""45""&gt;"</f>
        <v>&lt;img alt="" src="https://github.com/OrcaSlicer/OrcaSlicer/blob/main/resources/images/.svg?raw=true" height="45"&gt;</v>
      </c>
      <c r="AP30" s="2" t="str">
        <f>"["&amp;Infill[[#This Row],[name]]&amp;"](#"&amp;Infill[[#This Row],[nameMD]]&amp;")"</f>
        <v>[](#)</v>
      </c>
      <c r="AQ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0" t="str">
        <f>IF(OR(Infill[[#This Row],[Is Infill]],Infill[[#This Row],[Is Surface]])," { """&amp;Infill[[#This Row],[infill]]&amp;""", "&amp;Infill[[#This Row],[ip]]&amp;" },","")</f>
        <v/>
      </c>
      <c r="AT30" t="str">
        <f>IF(OR(Infill[[#This Row],[Is Infill]],Infill[[#This Row],[Is Surface]]),"def-&gt;enum_values.push_back("""&amp;Infill[[#This Row],[infill]]&amp;""");","")</f>
        <v/>
      </c>
      <c r="AU30" t="str">
        <f>IF(OR(Infill[[#This Row],[Is Infill]],Infill[[#This Row],[Is Surface]]),"def-&gt;enum_labels.push_back(L("""&amp;Infill[[#This Row],[name]]&amp;"""));","")</f>
        <v/>
      </c>
      <c r="AW30" t="str">
        <f>Infill[[#This Row],[SVG Link]]</f>
        <v>&lt;img alt="" src="https://github.com/OrcaSlicer/OrcaSlicer/blob/main/resources/images/.svg?raw=true" height="45"&gt;</v>
      </c>
      <c r="AX30" s="1" t="str">
        <f>"["&amp;Infill[[#This Row],[name]]&amp;"](strength_settings_patterns#"&amp;Infill[[#This Row],[nameMD]]&amp;")"</f>
        <v>[](strength_settings_patterns#)</v>
      </c>
      <c r="AY30" s="6" t="e">
        <f>"X-Y: "&amp;Infill[[#This Row],[X-Y Strength Icon]]&amp;"
Z: "&amp;Infill[[#This Row],[Z Strength Icon]]</f>
        <v>#N/A</v>
      </c>
      <c r="AZ30" s="1" t="e">
        <f>Infill[[#This Row],[Material Usage Icon]]</f>
        <v>#N/A</v>
      </c>
      <c r="BA30" s="1" t="e">
        <f>Infill[[#This Row],[Print Time Icon]]</f>
        <v>#N/A</v>
      </c>
      <c r="BB30" t="e">
        <f>Infill[[#This Row],[Layer time Variability Icon]]</f>
        <v>#N/A</v>
      </c>
      <c r="BC30" s="1" t="str">
        <f>Infill[[#This Row],[Multiline]]</f>
        <v>N/A</v>
      </c>
    </row>
    <row r="31" spans="5:55" x14ac:dyDescent="0.25">
      <c r="E31">
        <v>29</v>
      </c>
      <c r="F31" t="b">
        <v>0</v>
      </c>
      <c r="G31" t="b">
        <v>0</v>
      </c>
      <c r="H31" t="b">
        <v>0</v>
      </c>
      <c r="K31" t="s">
        <v>107</v>
      </c>
      <c r="M31" t="s">
        <v>215</v>
      </c>
      <c r="N31" t="s">
        <v>215</v>
      </c>
      <c r="O31" t="inlineStr">
        <is>
          <t>N/A</t>
        </is>
      </c>
      <c r="P31" s="8"/>
      <c r="R31" t="e">
        <f>_xlfn.XLOOKUP(Infill[[#This Row],[XY-N]],Rating[N],Rating[Name])</f>
        <v>#N/A</v>
      </c>
      <c r="S31" t="e">
        <f>_xlfn.XLOOKUP(Infill[[#This Row],[XY-N]],Rating[N],Rating[level-to-better])</f>
        <v>#N/A</v>
      </c>
      <c r="U31" t="e">
        <f>_xlfn.XLOOKUP(Infill[[#This Row],[Z-N]],Rating[N],Rating[Name])</f>
        <v>#N/A</v>
      </c>
      <c r="V31" t="e">
        <f>_xlfn.XLOOKUP(Infill[[#This Row],[Z-N]],Rating[N],Rating[level-to-better])</f>
        <v>#N/A</v>
      </c>
      <c r="W31" s="11" t="e">
        <f>_xlfn.XLOOKUP(Infill[[#This Row],[infill]],Tabla7[infill],Tabla7[% 2 Sigma])</f>
        <v>#N/A</v>
      </c>
      <c r="X31" t="e">
        <f>_xlfn.XLOOKUP(Infill[[#This Row],[% 2 Sigma]],AbsRating[Max %],AbsRating[Name],,1)</f>
        <v>#N/A</v>
      </c>
      <c r="Y31" t="e">
        <f>_xlfn.XLOOKUP(Infill[[#This Row],[% 2 Sigma]],AbsRating[Max %],AbsRating[icon],,1)</f>
        <v>#N/A</v>
      </c>
      <c r="Z31" s="2"/>
      <c r="AA31" t="e">
        <f>_xlfn.XLOOKUP(Infill[[#This Row],[infill]],Tabla7[infill],Tabla7[g])</f>
        <v>#N/A</v>
      </c>
      <c r="AB31" s="2" t="e">
        <f>Infill[[#This Row],[g]]/(997.25*0.15)</f>
        <v>#N/A</v>
      </c>
      <c r="AC31" s="2" t="e">
        <f>_xlfn.XLOOKUP(Infill[[#This Row],[% Effective]],Rating[Max %],Rating[Name],,1)</f>
        <v>#N/A</v>
      </c>
      <c r="AD31" s="2" t="e">
        <f>_xlfn.XLOOKUP(Infill[[#This Row],[% Effective]],Rating[Max %],Rating[level-to-worse],,1)</f>
        <v>#N/A</v>
      </c>
      <c r="AE31" t="e">
        <f>_xlfn.XLOOKUP(Infill[[#This Row],[infill]],Tabla7[infill],Tabla7[Total Time])</f>
        <v>#N/A</v>
      </c>
      <c r="AF31" s="2" t="e">
        <f>Infill[[#This Row],[Total Time]]/AVERAGEIFS(Infill[Total Time],Infill[Material Usage Icon],_xlfn.XLOOKUP("Normal",Rating[Name],Rating[level-to-worse]))</f>
        <v>#N/A</v>
      </c>
      <c r="AG31" s="2" t="e">
        <f>_xlfn.XLOOKUP(Infill[[#This Row],[t prom]],Rating[Max %],Rating[Name],,1)</f>
        <v>#N/A</v>
      </c>
      <c r="AH31" s="2" t="e">
        <f>_xlfn.XLOOKUP(Infill[[#This Row],[t prom]],Rating[Max %],Rating[level-to-worse],,1)</f>
        <v>#N/A</v>
      </c>
      <c r="AI31" s="3" t="e">
        <f>Infill[[#This Row],[g]]/Infill[[#This Row],[Total Time]]</f>
        <v>#N/A</v>
      </c>
      <c r="AJ31" s="2" t="e">
        <f>Infill[[#This Row],[g/t]]/AVERAGEIFS(Infill[g/t],Infill[Material Usage Icon],_xlfn.XLOOKUP("Normal",Rating[Name],Rating[level-to-worse]))</f>
        <v>#N/A</v>
      </c>
      <c r="AK31" s="2" t="e">
        <f>_xlfn.XLOOKUP(Infill[[#This Row],[g/t prom]],Rating[Max %],Rating[Name],,1)</f>
        <v>#N/A</v>
      </c>
      <c r="AL31" s="2" t="e">
        <f>_xlfn.XLOOKUP(Infill[[#This Row],[g/t prom]],Rating[Max %],Rating[level-to-better],,1)</f>
        <v>#N/A</v>
      </c>
      <c r="AM31" s="2" t="str">
        <f>SUBSTITUTE(LOWER(Infill[[#This Row],[name]])," ","-")</f>
        <v/>
      </c>
      <c r="AO31" t="str">
        <f>"&lt;img alt=""" &amp; Infill[[#This Row],[SVG]] &amp; """ src=""https://github.com/OrcaSlicer/OrcaSlicer/blob/main/resources/images/" &amp; Infill[[#This Row],[SVG]] &amp; ".svg?raw=true"" height=""45""&gt;"</f>
        <v>&lt;img alt="" src="https://github.com/OrcaSlicer/OrcaSlicer/blob/main/resources/images/.svg?raw=true" height="45"&gt;</v>
      </c>
      <c r="AP31" s="2" t="str">
        <f>"["&amp;Infill[[#This Row],[name]]&amp;"](#"&amp;Infill[[#This Row],[nameMD]]&amp;")"</f>
        <v>[](#)</v>
      </c>
      <c r="AQ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1" t="str">
        <f>IF(OR(Infill[[#This Row],[Is Infill]],Infill[[#This Row],[Is Surface]])," { """&amp;Infill[[#This Row],[infill]]&amp;""", "&amp;Infill[[#This Row],[ip]]&amp;" },","")</f>
        <v/>
      </c>
      <c r="AT31" t="str">
        <f>IF(OR(Infill[[#This Row],[Is Infill]],Infill[[#This Row],[Is Surface]]),"def-&gt;enum_values.push_back("""&amp;Infill[[#This Row],[infill]]&amp;""");","")</f>
        <v/>
      </c>
      <c r="AU31" t="str">
        <f>IF(OR(Infill[[#This Row],[Is Infill]],Infill[[#This Row],[Is Surface]]),"def-&gt;enum_labels.push_back(L("""&amp;Infill[[#This Row],[name]]&amp;"""));","")</f>
        <v/>
      </c>
      <c r="AW31" t="str">
        <f>Infill[[#This Row],[SVG Link]]</f>
        <v>&lt;img alt="" src="https://github.com/OrcaSlicer/OrcaSlicer/blob/main/resources/images/.svg?raw=true" height="45"&gt;</v>
      </c>
      <c r="AX31" s="1" t="str">
        <f>"["&amp;Infill[[#This Row],[name]]&amp;"](strength_settings_patterns#"&amp;Infill[[#This Row],[nameMD]]&amp;")"</f>
        <v>[](strength_settings_patterns#)</v>
      </c>
      <c r="AY31" s="6" t="e">
        <f>"X-Y: "&amp;Infill[[#This Row],[X-Y Strength Icon]]&amp;"
Z: "&amp;Infill[[#This Row],[Z Strength Icon]]</f>
        <v>#N/A</v>
      </c>
      <c r="AZ31" s="1" t="e">
        <f>Infill[[#This Row],[Material Usage Icon]]</f>
        <v>#N/A</v>
      </c>
      <c r="BA31" s="1" t="e">
        <f>Infill[[#This Row],[Print Time Icon]]</f>
        <v>#N/A</v>
      </c>
      <c r="BB31" t="e">
        <f>Infill[[#This Row],[Layer time Variability Icon]]</f>
        <v>#N/A</v>
      </c>
      <c r="BC31" s="1" t="str">
        <f>Infill[[#This Row],[Multiline]]</f>
        <v>N/A</v>
      </c>
    </row>
    <row r="32" spans="2:55" x14ac:dyDescent="0.25">
      <c r="B32" s="2"/>
      <c r="E32">
        <v>30</v>
      </c>
      <c r="F32" t="b">
        <v>0</v>
      </c>
      <c r="G32" t="b">
        <v>0</v>
      </c>
      <c r="H32" t="b">
        <v>0</v>
      </c>
      <c r="K32" t="s">
        <v>114</v>
      </c>
      <c r="M32" t="s">
        <v>215</v>
      </c>
      <c r="N32" t="s">
        <v>215</v>
      </c>
      <c r="O32" t="inlineStr">
        <is>
          <t>N/A</t>
        </is>
      </c>
      <c r="P32" s="8"/>
      <c r="R32" t="e">
        <f>_xlfn.XLOOKUP(Infill[[#This Row],[XY-N]],Rating[N],Rating[Name])</f>
        <v>#N/A</v>
      </c>
      <c r="S32" t="e">
        <f>_xlfn.XLOOKUP(Infill[[#This Row],[XY-N]],Rating[N],Rating[level-to-better])</f>
        <v>#N/A</v>
      </c>
      <c r="U32" t="e">
        <f>_xlfn.XLOOKUP(Infill[[#This Row],[Z-N]],Rating[N],Rating[Name])</f>
        <v>#N/A</v>
      </c>
      <c r="V32" t="e">
        <f>_xlfn.XLOOKUP(Infill[[#This Row],[Z-N]],Rating[N],Rating[level-to-better])</f>
        <v>#N/A</v>
      </c>
      <c r="W32" s="11" t="e">
        <f>_xlfn.XLOOKUP(Infill[[#This Row],[infill]],Tabla7[infill],Tabla7[% 2 Sigma])</f>
        <v>#N/A</v>
      </c>
      <c r="X32" t="e">
        <f>_xlfn.XLOOKUP(Infill[[#This Row],[% 2 Sigma]],AbsRating[Max %],AbsRating[Name],,1)</f>
        <v>#N/A</v>
      </c>
      <c r="Y32" t="e">
        <f>_xlfn.XLOOKUP(Infill[[#This Row],[% 2 Sigma]],AbsRating[Max %],AbsRating[icon],,1)</f>
        <v>#N/A</v>
      </c>
      <c r="Z32" s="2"/>
      <c r="AA32" t="e">
        <f>_xlfn.XLOOKUP(Infill[[#This Row],[infill]],Tabla7[infill],Tabla7[g])</f>
        <v>#N/A</v>
      </c>
      <c r="AB32" s="2" t="e">
        <f>Infill[[#This Row],[g]]/(997.25*0.15)</f>
        <v>#N/A</v>
      </c>
      <c r="AC32" s="2" t="e">
        <f>_xlfn.XLOOKUP(Infill[[#This Row],[% Effective]],Rating[Max %],Rating[Name],,1)</f>
        <v>#N/A</v>
      </c>
      <c r="AD32" s="2" t="e">
        <f>_xlfn.XLOOKUP(Infill[[#This Row],[% Effective]],Rating[Max %],Rating[level-to-worse],,1)</f>
        <v>#N/A</v>
      </c>
      <c r="AE32" t="e">
        <f>_xlfn.XLOOKUP(Infill[[#This Row],[infill]],Tabla7[infill],Tabla7[Total Time])</f>
        <v>#N/A</v>
      </c>
      <c r="AF32" s="2" t="e">
        <f>Infill[[#This Row],[Total Time]]/AVERAGEIFS(Infill[Total Time],Infill[Material Usage Icon],_xlfn.XLOOKUP("Normal",Rating[Name],Rating[level-to-worse]))</f>
        <v>#N/A</v>
      </c>
      <c r="AG32" s="2" t="e">
        <f>_xlfn.XLOOKUP(Infill[[#This Row],[t prom]],Rating[Max %],Rating[Name],,1)</f>
        <v>#N/A</v>
      </c>
      <c r="AH32" s="2" t="e">
        <f>_xlfn.XLOOKUP(Infill[[#This Row],[t prom]],Rating[Max %],Rating[level-to-worse],,1)</f>
        <v>#N/A</v>
      </c>
      <c r="AI32" s="3" t="e">
        <f>Infill[[#This Row],[g]]/Infill[[#This Row],[Total Time]]</f>
        <v>#N/A</v>
      </c>
      <c r="AJ32" s="2" t="e">
        <f>Infill[[#This Row],[g/t]]/AVERAGEIFS(Infill[g/t],Infill[Material Usage Icon],_xlfn.XLOOKUP("Normal",Rating[Name],Rating[level-to-worse]))</f>
        <v>#N/A</v>
      </c>
      <c r="AK32" s="2" t="e">
        <f>_xlfn.XLOOKUP(Infill[[#This Row],[g/t prom]],Rating[Max %],Rating[Name],,1)</f>
        <v>#N/A</v>
      </c>
      <c r="AL32" s="2" t="e">
        <f>_xlfn.XLOOKUP(Infill[[#This Row],[g/t prom]],Rating[Max %],Rating[level-to-better],,1)</f>
        <v>#N/A</v>
      </c>
      <c r="AM32" s="2" t="str">
        <f>SUBSTITUTE(LOWER(Infill[[#This Row],[name]])," ","-")</f>
        <v/>
      </c>
      <c r="AO32" t="str">
        <f>"&lt;img alt=""" &amp; Infill[[#This Row],[SVG]] &amp; """ src=""https://github.com/OrcaSlicer/OrcaSlicer/blob/main/resources/images/" &amp; Infill[[#This Row],[SVG]] &amp; ".svg?raw=true"" height=""45""&gt;"</f>
        <v>&lt;img alt="" src="https://github.com/OrcaSlicer/OrcaSlicer/blob/main/resources/images/.svg?raw=true" height="45"&gt;</v>
      </c>
      <c r="AP32" s="2" t="str">
        <f>"["&amp;Infill[[#This Row],[name]]&amp;"](#"&amp;Infill[[#This Row],[nameMD]]&amp;")"</f>
        <v>[](#)</v>
      </c>
      <c r="AQ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R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**[Smooth Factor](strength_settings_infill#sparse-infill-smooth-factor):** "&amp;Infill[[#This Row],[Smooth Factor]]&amp;"
- **Applies to:**"&amp;Infill[[#This Row],[Applies to]]&amp;"
![infill-top-"&amp;Infill[[#This Row],[nameMD]]&amp;"](https://github.com/OrcaSlicer/OrcaSlicer_WIKI/blob/main/images/fill/infill-top-"&amp;Infill[[#This Row],[nameMD]]&amp;".png?raw=true)
","")</f>
        <v/>
      </c>
      <c r="AS32" t="str">
        <f>IF(OR(Infill[[#This Row],[Is Infill]],Infill[[#This Row],[Is Surface]])," { """&amp;Infill[[#This Row],[infill]]&amp;""", "&amp;Infill[[#This Row],[ip]]&amp;" },","")</f>
        <v/>
      </c>
      <c r="AT32" t="str">
        <f>IF(OR(Infill[[#This Row],[Is Infill]],Infill[[#This Row],[Is Surface]]),"def-&gt;enum_values.push_back("""&amp;Infill[[#This Row],[infill]]&amp;""");","")</f>
        <v/>
      </c>
      <c r="AU32" t="str">
        <f>IF(OR(Infill[[#This Row],[Is Infill]],Infill[[#This Row],[Is Surface]]),"def-&gt;enum_labels.push_back(L("""&amp;Infill[[#This Row],[name]]&amp;"""));","")</f>
        <v/>
      </c>
      <c r="AW32" t="str">
        <f>Infill[[#This Row],[SVG Link]]</f>
        <v>&lt;img alt="" src="https://github.com/OrcaSlicer/OrcaSlicer/blob/main/resources/images/.svg?raw=true" height="45"&gt;</v>
      </c>
      <c r="AX32" s="1" t="str">
        <f>"["&amp;Infill[[#This Row],[name]]&amp;"](strength_settings_patterns#"&amp;Infill[[#This Row],[nameMD]]&amp;")"</f>
        <v>[](strength_settings_patterns#)</v>
      </c>
      <c r="AY32" s="6" t="e">
        <f>"X-Y: "&amp;Infill[[#This Row],[X-Y Strength Icon]]&amp;"
Z: "&amp;Infill[[#This Row],[Z Strength Icon]]</f>
        <v>#N/A</v>
      </c>
      <c r="AZ32" s="1" t="e">
        <f>Infill[[#This Row],[Material Usage Icon]]</f>
        <v>#N/A</v>
      </c>
      <c r="BA32" s="1" t="e">
        <f>Infill[[#This Row],[Print Time Icon]]</f>
        <v>#N/A</v>
      </c>
      <c r="BB32" t="e">
        <f>Infill[[#This Row],[Layer time Variability Icon]]</f>
        <v>#N/A</v>
      </c>
      <c r="BC32" s="1" t="str">
        <f>Infill[[#This Row],[Multiline]]</f>
        <v>N/A</v>
      </c>
    </row>
    <row r="33" spans="2:15" x14ac:dyDescent="0.25">
      <c r="B33" s="2"/>
      <c r="O33" t="inlineStr">
        <is>
          <t>N/A</t>
        </is>
      </c>
    </row>
    <row r="34" spans="2:15" x14ac:dyDescent="0.25">
      <c r="B34" s="2"/>
      <c r="O34" t="inlineStr">
        <is>
          <t>N/A</t>
        </is>
      </c>
    </row>
    <row r="35" spans="2:15" x14ac:dyDescent="0.25">
      <c r="B35" s="2"/>
      <c r="O35" t="inlineStr">
        <is>
          <t>N/A</t>
        </is>
      </c>
    </row>
    <row r="36" spans="2:15" x14ac:dyDescent="0.25">
      <c r="B36" s="2"/>
      <c r="O36" t="inlineStr">
        <is>
          <t>N/A</t>
        </is>
      </c>
    </row>
  </sheetData>
  <phoneticPr fontId="2" type="noConversion"/>
  <conditionalFormatting sqref="AB2:AC32">
    <cfRule type="colorScale" priority="80">
      <colorScale>
        <cfvo type="min"/>
        <cfvo type="percentile" val="50"/>
        <cfvo type="max"/>
        <color rgb="FFF8696B"/>
        <color rgb="FFFFEB84"/>
        <color rgb="FF63BE7B"/>
      </colorScale>
    </cfRule>
  </conditionalFormatting>
  <conditionalFormatting sqref="AF2:AG32">
    <cfRule type="colorScale" priority="82">
      <colorScale>
        <cfvo type="min"/>
        <cfvo type="percentile" val="50"/>
        <cfvo type="max"/>
        <color rgb="FF63BE7B"/>
        <color rgb="FFFFEB84"/>
        <color rgb="FFF8696B"/>
      </colorScale>
    </cfRule>
  </conditionalFormatting>
  <conditionalFormatting sqref="AI2:AI32">
    <cfRule type="colorScale" priority="84">
      <colorScale>
        <cfvo type="min"/>
        <cfvo type="percentile" val="50"/>
        <cfvo type="max"/>
        <color rgb="FFF8696B"/>
        <color rgb="FFFFEB84"/>
        <color rgb="FF63BE7B"/>
      </colorScale>
    </cfRule>
  </conditionalFormatting>
  <conditionalFormatting sqref="AJ2:AK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68</v>
      </c>
      <c r="C1" t="s">
        <v>39</v>
      </c>
      <c r="D1" t="s">
        <v>221</v>
      </c>
      <c r="E1" t="s">
        <v>220</v>
      </c>
      <c r="G1" t="s">
        <v>68</v>
      </c>
      <c r="H1" t="s">
        <v>39</v>
      </c>
      <c r="I1" t="s">
        <v>227</v>
      </c>
    </row>
    <row r="2" spans="1:9" x14ac:dyDescent="0.25">
      <c r="A2">
        <v>0</v>
      </c>
      <c r="B2" s="7">
        <v>0.15</v>
      </c>
      <c r="C2" t="s">
        <v>64</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232</v>
      </c>
      <c r="I2" t="s">
        <v>237</v>
      </c>
    </row>
    <row r="3" spans="1:9" x14ac:dyDescent="0.25">
      <c r="A3">
        <v>1</v>
      </c>
      <c r="B3" s="7">
        <v>0.4</v>
      </c>
      <c r="C3" t="s">
        <v>65</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233</v>
      </c>
      <c r="I3" t="s">
        <v>238</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234</v>
      </c>
      <c r="I4" t="s">
        <v>239</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235</v>
      </c>
      <c r="I5" t="s">
        <v>240</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66</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67</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219</v>
      </c>
    </row>
    <row r="20" spans="13:21" x14ac:dyDescent="0.25">
      <c r="M20" t="s">
        <v>40</v>
      </c>
      <c r="N20" t="s">
        <v>68</v>
      </c>
      <c r="O20" t="s">
        <v>39</v>
      </c>
      <c r="P20" t="s">
        <v>192</v>
      </c>
      <c r="Q20" t="s">
        <v>193</v>
      </c>
      <c r="S20" t="s">
        <v>68</v>
      </c>
      <c r="T20" t="s">
        <v>39</v>
      </c>
      <c r="U20" t="s">
        <v>227</v>
      </c>
    </row>
    <row r="21" spans="13:21" x14ac:dyDescent="0.25">
      <c r="M21">
        <v>0</v>
      </c>
      <c r="N21" s="7">
        <v>0.15</v>
      </c>
      <c r="O21" t="s">
        <v>64</v>
      </c>
      <c r="P21" t="s">
        <v>211</v>
      </c>
      <c r="Q21" t="s">
        <v>210</v>
      </c>
      <c r="S21" s="2">
        <v>0.01</v>
      </c>
      <c r="T21" t="s">
        <v>232</v>
      </c>
      <c r="U21" t="s">
        <v>228</v>
      </c>
    </row>
    <row r="22" spans="13:21" x14ac:dyDescent="0.25">
      <c r="M22">
        <v>1</v>
      </c>
      <c r="N22" s="7">
        <v>0.4</v>
      </c>
      <c r="O22" t="s">
        <v>65</v>
      </c>
      <c r="P22" t="s">
        <v>195</v>
      </c>
      <c r="Q22" t="s">
        <v>209</v>
      </c>
      <c r="S22" s="2">
        <v>0.3</v>
      </c>
      <c r="T22" t="s">
        <v>233</v>
      </c>
      <c r="U22" t="s">
        <v>229</v>
      </c>
    </row>
    <row r="23" spans="13:21" x14ac:dyDescent="0.25">
      <c r="M23">
        <v>2</v>
      </c>
      <c r="N23" s="7">
        <v>0.75</v>
      </c>
      <c r="O23" t="s">
        <v>21</v>
      </c>
      <c r="P23" t="s">
        <v>196</v>
      </c>
      <c r="Q23" t="s">
        <v>208</v>
      </c>
      <c r="S23" s="2">
        <v>0.75</v>
      </c>
      <c r="T23" t="s">
        <v>234</v>
      </c>
      <c r="U23" t="s">
        <v>230</v>
      </c>
    </row>
    <row r="24" spans="13:21" x14ac:dyDescent="0.25">
      <c r="M24">
        <v>3</v>
      </c>
      <c r="N24" s="7">
        <v>0.92500000000000004</v>
      </c>
      <c r="O24" t="s">
        <v>23</v>
      </c>
      <c r="P24" t="s">
        <v>197</v>
      </c>
      <c r="Q24" t="s">
        <v>207</v>
      </c>
      <c r="S24" s="2">
        <v>999</v>
      </c>
      <c r="T24" t="s">
        <v>235</v>
      </c>
      <c r="U24" t="s">
        <v>231</v>
      </c>
    </row>
    <row r="25" spans="13:21" x14ac:dyDescent="0.25">
      <c r="M25">
        <v>4</v>
      </c>
      <c r="N25" s="7">
        <v>1.075</v>
      </c>
      <c r="O25" t="s">
        <v>22</v>
      </c>
      <c r="P25" t="s">
        <v>198</v>
      </c>
      <c r="Q25" t="s">
        <v>198</v>
      </c>
    </row>
    <row r="26" spans="13:21" x14ac:dyDescent="0.25">
      <c r="M26">
        <v>5</v>
      </c>
      <c r="N26" s="7">
        <v>1.25</v>
      </c>
      <c r="O26" t="s">
        <v>24</v>
      </c>
      <c r="P26" t="s">
        <v>199</v>
      </c>
      <c r="Q26" t="s">
        <v>206</v>
      </c>
    </row>
    <row r="27" spans="13:21" x14ac:dyDescent="0.25">
      <c r="M27">
        <v>6</v>
      </c>
      <c r="N27" s="7">
        <v>1.6</v>
      </c>
      <c r="O27" t="s">
        <v>20</v>
      </c>
      <c r="P27" t="s">
        <v>200</v>
      </c>
      <c r="Q27" t="s">
        <v>205</v>
      </c>
    </row>
    <row r="28" spans="13:21" x14ac:dyDescent="0.25">
      <c r="M28">
        <v>7</v>
      </c>
      <c r="N28" s="7">
        <v>1.85</v>
      </c>
      <c r="O28" t="s">
        <v>66</v>
      </c>
      <c r="P28" t="s">
        <v>201</v>
      </c>
      <c r="Q28" t="s">
        <v>204</v>
      </c>
    </row>
    <row r="29" spans="13:21" x14ac:dyDescent="0.25">
      <c r="M29">
        <v>8</v>
      </c>
      <c r="N29" s="7">
        <v>9.99</v>
      </c>
      <c r="O29" t="s">
        <v>67</v>
      </c>
      <c r="P29" t="s">
        <v>202</v>
      </c>
      <c r="Q29" t="s">
        <v>203</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187</v>
      </c>
      <c r="B1" t="s">
        <v>128</v>
      </c>
      <c r="C1" t="s">
        <v>126</v>
      </c>
      <c r="D1" t="s">
        <v>127</v>
      </c>
      <c r="E1" t="s">
        <v>130</v>
      </c>
      <c r="F1" t="s">
        <v>117</v>
      </c>
      <c r="G1" t="s">
        <v>134</v>
      </c>
      <c r="H1" t="s">
        <v>137</v>
      </c>
      <c r="I1" t="s">
        <v>120</v>
      </c>
      <c r="J1" t="s">
        <v>118</v>
      </c>
      <c r="K1" t="s">
        <v>123</v>
      </c>
      <c r="L1" t="s">
        <v>129</v>
      </c>
      <c r="M1" t="s">
        <v>125</v>
      </c>
      <c r="N1" t="s">
        <v>177</v>
      </c>
      <c r="O1" t="s">
        <v>178</v>
      </c>
      <c r="P1" t="s">
        <v>133</v>
      </c>
      <c r="Q1" t="s">
        <v>119</v>
      </c>
      <c r="R1" t="s">
        <v>138</v>
      </c>
      <c r="S1" t="s">
        <v>139</v>
      </c>
      <c r="T1" t="s">
        <v>140</v>
      </c>
      <c r="U1" t="s">
        <v>131</v>
      </c>
      <c r="V1" t="s">
        <v>135</v>
      </c>
      <c r="W1" t="s">
        <v>158</v>
      </c>
      <c r="X1" t="s">
        <v>132</v>
      </c>
      <c r="Y1" t="s">
        <v>124</v>
      </c>
      <c r="Z1" t="s">
        <v>161</v>
      </c>
      <c r="AA1" t="s">
        <v>122</v>
      </c>
      <c r="AB1" t="s">
        <v>121</v>
      </c>
      <c r="AC1" t="s">
        <v>136</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141</v>
      </c>
      <c r="D1" t="s">
        <v>43</v>
      </c>
      <c r="E1" t="s">
        <v>28</v>
      </c>
      <c r="F1" s="12" t="s">
        <v>188</v>
      </c>
      <c r="G1" t="s">
        <v>190</v>
      </c>
      <c r="H1" t="s">
        <v>191</v>
      </c>
    </row>
    <row r="2" spans="3:8" x14ac:dyDescent="0.25">
      <c r="C2" t="s">
        <v>119</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117</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139</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140</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122</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131</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130</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127</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121</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129</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137</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178</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118</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158</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125</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120</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138</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136</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135</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126</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123</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161</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128</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177</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124</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132</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134</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133</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2026-06-01T13:33:58Z</dcterms:modified>
</cp:coreProperties>
</file>
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GitHub\OrcaSlicer_WIKI\print_settings\strength\infill-analysis\"/>
    </mc:Choice>
  </mc:AlternateContent>
  <xr:revisionPtr revIDLastSave="0" documentId="13_ncr:1_{FBBEA18A-77CD-459A-A3C1-7E03D0884B86}" xr6:coauthVersionLast="47" xr6:coauthVersionMax="47" xr10:uidLastSave="{00000000-0000-0000-0000-000000000000}"/>
  <bookViews>
    <workbookView xWindow="-120" yWindow="-120" windowWidth="38640" windowHeight="2112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3" l="1"/>
  <c r="G4" i="3" s="1"/>
  <c r="H4" i="3" s="1"/>
  <c r="W27" i="1" s="1"/>
  <c r="BC27" i="1"/>
  <c r="AN27" i="1"/>
  <c r="AO27" i="1" s="1"/>
  <c r="AW27" i="1" s="1"/>
  <c r="R27" i="1"/>
  <c r="U27" i="1"/>
  <c r="V27" i="1"/>
  <c r="AA27" i="1"/>
  <c r="AE27" i="1"/>
  <c r="AM27" i="1"/>
  <c r="AQ27" i="1"/>
  <c r="AS27" i="1"/>
  <c r="AT27" i="1"/>
  <c r="AU27" i="1"/>
  <c r="F30" i="3"/>
  <c r="G30" i="3" s="1"/>
  <c r="H30" i="3" s="1"/>
  <c r="W17" i="1" s="1"/>
  <c r="F29" i="3"/>
  <c r="G29" i="3" s="1"/>
  <c r="H29" i="3" s="1"/>
  <c r="W22" i="1" s="1"/>
  <c r="F28" i="3"/>
  <c r="G28" i="3" s="1"/>
  <c r="H28" i="3" s="1"/>
  <c r="W16" i="1" s="1"/>
  <c r="F27" i="3"/>
  <c r="G27" i="3" s="1"/>
  <c r="H27" i="3" s="1"/>
  <c r="W23" i="1" s="1"/>
  <c r="F26" i="3"/>
  <c r="G26" i="3" s="1"/>
  <c r="H26" i="3" s="1"/>
  <c r="W20" i="1" s="1"/>
  <c r="F25" i="3"/>
  <c r="G25" i="3" s="1"/>
  <c r="H25" i="3" s="1"/>
  <c r="W19" i="1" s="1"/>
  <c r="F24" i="3"/>
  <c r="G24" i="3" s="1"/>
  <c r="H24" i="3" s="1"/>
  <c r="W24" i="1" s="1"/>
  <c r="F23" i="3"/>
  <c r="G23" i="3" s="1"/>
  <c r="H23" i="3" s="1"/>
  <c r="W25" i="1" s="1"/>
  <c r="F22" i="3"/>
  <c r="G22" i="3" s="1"/>
  <c r="H22" i="3" s="1"/>
  <c r="W14" i="1" s="1"/>
  <c r="F21" i="3"/>
  <c r="G21" i="3" s="1"/>
  <c r="H21" i="3" s="1"/>
  <c r="W15" i="1" s="1"/>
  <c r="F20" i="3"/>
  <c r="G20" i="3" s="1"/>
  <c r="H20" i="3" s="1"/>
  <c r="W6" i="1" s="1"/>
  <c r="F19" i="3"/>
  <c r="G19" i="3" s="1"/>
  <c r="H19" i="3" s="1"/>
  <c r="W8" i="1" s="1"/>
  <c r="F18" i="3"/>
  <c r="G18" i="3" s="1"/>
  <c r="H18" i="3" s="1"/>
  <c r="W13" i="1" s="1"/>
  <c r="F17" i="3"/>
  <c r="G17" i="3" s="1"/>
  <c r="H17" i="3" s="1"/>
  <c r="W18" i="1" s="1"/>
  <c r="F16" i="3"/>
  <c r="G16" i="3" s="1"/>
  <c r="H16" i="3" s="1"/>
  <c r="W4" i="1" s="1"/>
  <c r="F15" i="3"/>
  <c r="G15" i="3" s="1"/>
  <c r="H15" i="3" s="1"/>
  <c r="W10" i="1" s="1"/>
  <c r="F14" i="3"/>
  <c r="G14" i="3" s="1"/>
  <c r="H14" i="3" s="1"/>
  <c r="W21" i="1" s="1"/>
  <c r="F13" i="3"/>
  <c r="G13" i="3" s="1"/>
  <c r="H13" i="3" s="1"/>
  <c r="W7" i="1" s="1"/>
  <c r="F12" i="3"/>
  <c r="G12" i="3" s="1"/>
  <c r="H12" i="3" s="1"/>
  <c r="W28" i="1" s="1"/>
  <c r="F11" i="3"/>
  <c r="G11" i="3" s="1"/>
  <c r="H11" i="3" s="1"/>
  <c r="W11" i="1" s="1"/>
  <c r="F10" i="3"/>
  <c r="G10" i="3" s="1"/>
  <c r="H10" i="3" s="1"/>
  <c r="W5" i="1" s="1"/>
  <c r="F9" i="3"/>
  <c r="G9" i="3" s="1"/>
  <c r="H9" i="3" s="1"/>
  <c r="W29" i="1" s="1"/>
  <c r="F8" i="3"/>
  <c r="G8" i="3" s="1"/>
  <c r="H8" i="3" s="1"/>
  <c r="W30" i="1" s="1"/>
  <c r="F7" i="3"/>
  <c r="G7" i="3" s="1"/>
  <c r="H7" i="3" s="1"/>
  <c r="W12" i="1" s="1"/>
  <c r="F6" i="3"/>
  <c r="G6" i="3" s="1"/>
  <c r="H6" i="3" s="1"/>
  <c r="W3" i="1" s="1"/>
  <c r="F5" i="3"/>
  <c r="G5" i="3" s="1"/>
  <c r="H5" i="3" s="1"/>
  <c r="W2" i="1" s="1"/>
  <c r="F3" i="3"/>
  <c r="G3" i="3" s="1"/>
  <c r="H3" i="3" s="1"/>
  <c r="W26" i="1" s="1"/>
  <c r="F2" i="3"/>
  <c r="G2" i="3" s="1"/>
  <c r="H2" i="3" s="1"/>
  <c r="W9" i="1" s="1"/>
  <c r="E10" i="4"/>
  <c r="D10" i="4"/>
  <c r="E9" i="4"/>
  <c r="D9" i="4"/>
  <c r="E8" i="4"/>
  <c r="D8" i="4"/>
  <c r="E7" i="4"/>
  <c r="D7" i="4"/>
  <c r="E6" i="4"/>
  <c r="V28" i="1" s="1"/>
  <c r="D6" i="4"/>
  <c r="E5" i="4"/>
  <c r="D5" i="4"/>
  <c r="E4" i="4"/>
  <c r="D4" i="4"/>
  <c r="E3" i="4"/>
  <c r="D3" i="4"/>
  <c r="E2" i="4"/>
  <c r="D2" i="4"/>
  <c r="BC33" i="1"/>
  <c r="AU33" i="1"/>
  <c r="AT33" i="1"/>
  <c r="AS33" i="1"/>
  <c r="AR33" i="1"/>
  <c r="AQ33" i="1"/>
  <c r="AO33" i="1"/>
  <c r="AM33" i="1"/>
  <c r="AE33" i="1"/>
  <c r="AA33" i="1"/>
  <c r="V33" i="1"/>
  <c r="U33" i="1"/>
  <c r="S33" i="1"/>
  <c r="R33" i="1"/>
  <c r="BC32" i="1"/>
  <c r="AU32" i="1"/>
  <c r="AT32" i="1"/>
  <c r="AS32" i="1"/>
  <c r="AR32" i="1"/>
  <c r="AQ32" i="1"/>
  <c r="AO32" i="1"/>
  <c r="AM32" i="1"/>
  <c r="AE32" i="1"/>
  <c r="AA32" i="1"/>
  <c r="V32" i="1"/>
  <c r="U32" i="1"/>
  <c r="S32" i="1"/>
  <c r="R32" i="1"/>
  <c r="BC31" i="1"/>
  <c r="AU31" i="1"/>
  <c r="AT31" i="1"/>
  <c r="AS31" i="1"/>
  <c r="AR31" i="1"/>
  <c r="AQ31" i="1"/>
  <c r="AO31" i="1"/>
  <c r="AM31" i="1"/>
  <c r="AE31" i="1"/>
  <c r="AA31" i="1"/>
  <c r="V31" i="1"/>
  <c r="U31" i="1"/>
  <c r="S31" i="1"/>
  <c r="AY31" i="1" s="1"/>
  <c r="R31" i="1"/>
  <c r="BC30" i="1"/>
  <c r="AU30" i="1"/>
  <c r="AT30" i="1"/>
  <c r="AS30" i="1"/>
  <c r="AQ30" i="1"/>
  <c r="AN30" i="1"/>
  <c r="AO30" i="1" s="1"/>
  <c r="AW30" i="1" s="1"/>
  <c r="AM30" i="1"/>
  <c r="AE30" i="1"/>
  <c r="AA30" i="1"/>
  <c r="V30" i="1"/>
  <c r="U30" i="1"/>
  <c r="S30" i="1"/>
  <c r="R30" i="1"/>
  <c r="BC29" i="1"/>
  <c r="AU29" i="1"/>
  <c r="AT29" i="1"/>
  <c r="AS29" i="1"/>
  <c r="AQ29" i="1"/>
  <c r="AN29" i="1"/>
  <c r="AO29" i="1" s="1"/>
  <c r="AM29" i="1"/>
  <c r="AE29" i="1"/>
  <c r="AA29" i="1"/>
  <c r="V29" i="1"/>
  <c r="U29" i="1"/>
  <c r="S29" i="1"/>
  <c r="AY29" i="1" s="1"/>
  <c r="R29" i="1"/>
  <c r="BC28" i="1"/>
  <c r="AU28" i="1"/>
  <c r="AT28" i="1"/>
  <c r="AS28" i="1"/>
  <c r="AQ28" i="1"/>
  <c r="AN28" i="1"/>
  <c r="AO28" i="1" s="1"/>
  <c r="AM28" i="1"/>
  <c r="AE28" i="1"/>
  <c r="AA28" i="1"/>
  <c r="U28" i="1"/>
  <c r="R28" i="1"/>
  <c r="BC26" i="1"/>
  <c r="AU26" i="1"/>
  <c r="AT26" i="1"/>
  <c r="AS26" i="1"/>
  <c r="AQ26" i="1"/>
  <c r="AN26" i="1"/>
  <c r="AO26" i="1" s="1"/>
  <c r="AW26" i="1" s="1"/>
  <c r="AM26" i="1"/>
  <c r="AE26" i="1"/>
  <c r="AA26" i="1"/>
  <c r="V26" i="1"/>
  <c r="U26" i="1"/>
  <c r="S26" i="1"/>
  <c r="R26" i="1"/>
  <c r="BC25" i="1"/>
  <c r="AU25" i="1"/>
  <c r="AT25" i="1"/>
  <c r="AS25" i="1"/>
  <c r="AQ25" i="1"/>
  <c r="AN25" i="1"/>
  <c r="AO25" i="1" s="1"/>
  <c r="AW25" i="1" s="1"/>
  <c r="AM25" i="1"/>
  <c r="AE25" i="1"/>
  <c r="AA25" i="1"/>
  <c r="V25" i="1"/>
  <c r="U25" i="1"/>
  <c r="S25" i="1"/>
  <c r="R25" i="1"/>
  <c r="BC24" i="1"/>
  <c r="AU24" i="1"/>
  <c r="AT24" i="1"/>
  <c r="AS24" i="1"/>
  <c r="AQ24" i="1"/>
  <c r="AN24" i="1"/>
  <c r="AO24" i="1" s="1"/>
  <c r="AW24" i="1" s="1"/>
  <c r="AM24" i="1"/>
  <c r="AE24" i="1"/>
  <c r="AA24" i="1"/>
  <c r="U24" i="1"/>
  <c r="R24" i="1"/>
  <c r="BC23" i="1"/>
  <c r="AU23" i="1"/>
  <c r="AT23" i="1"/>
  <c r="AS23" i="1"/>
  <c r="AQ23" i="1"/>
  <c r="AN23" i="1"/>
  <c r="AO23" i="1" s="1"/>
  <c r="AW23" i="1" s="1"/>
  <c r="AM23" i="1"/>
  <c r="AE23" i="1"/>
  <c r="AA23" i="1"/>
  <c r="V23" i="1"/>
  <c r="U23" i="1"/>
  <c r="S23" i="1"/>
  <c r="R23" i="1"/>
  <c r="BC22" i="1"/>
  <c r="AU22" i="1"/>
  <c r="AT22" i="1"/>
  <c r="AS22" i="1"/>
  <c r="AQ22" i="1"/>
  <c r="AN22" i="1"/>
  <c r="AO22" i="1" s="1"/>
  <c r="AW22" i="1" s="1"/>
  <c r="AM22" i="1"/>
  <c r="AE22" i="1"/>
  <c r="AA22" i="1"/>
  <c r="V22" i="1"/>
  <c r="U22" i="1"/>
  <c r="S22" i="1"/>
  <c r="AY22" i="1" s="1"/>
  <c r="R22" i="1"/>
  <c r="BC21" i="1"/>
  <c r="AU21" i="1"/>
  <c r="AT21" i="1"/>
  <c r="AS21" i="1"/>
  <c r="AQ21" i="1"/>
  <c r="AN21" i="1"/>
  <c r="AO21" i="1" s="1"/>
  <c r="AW21" i="1" s="1"/>
  <c r="AM21" i="1"/>
  <c r="AE21" i="1"/>
  <c r="AA21" i="1"/>
  <c r="V21" i="1"/>
  <c r="U21" i="1"/>
  <c r="S21" i="1"/>
  <c r="AY21" i="1" s="1"/>
  <c r="R21" i="1"/>
  <c r="BC20" i="1"/>
  <c r="AU20" i="1"/>
  <c r="AT20" i="1"/>
  <c r="AS20" i="1"/>
  <c r="AQ20" i="1"/>
  <c r="AN20" i="1"/>
  <c r="AO20" i="1" s="1"/>
  <c r="AW20" i="1" s="1"/>
  <c r="AM20" i="1"/>
  <c r="AE20" i="1"/>
  <c r="AA20" i="1"/>
  <c r="V20" i="1"/>
  <c r="U20" i="1"/>
  <c r="S20" i="1"/>
  <c r="AY20" i="1" s="1"/>
  <c r="R20" i="1"/>
  <c r="BC19" i="1"/>
  <c r="AU19" i="1"/>
  <c r="AT19" i="1"/>
  <c r="AS19" i="1"/>
  <c r="AQ19" i="1"/>
  <c r="AN19" i="1"/>
  <c r="AO19" i="1" s="1"/>
  <c r="AW19" i="1" s="1"/>
  <c r="AM19" i="1"/>
  <c r="AE19" i="1"/>
  <c r="AA19" i="1"/>
  <c r="V19" i="1"/>
  <c r="U19" i="1"/>
  <c r="S19" i="1"/>
  <c r="AY19" i="1" s="1"/>
  <c r="R19" i="1"/>
  <c r="BC18" i="1"/>
  <c r="AU18" i="1"/>
  <c r="AT18" i="1"/>
  <c r="AS18" i="1"/>
  <c r="AQ18" i="1"/>
  <c r="AN18" i="1"/>
  <c r="AO18" i="1" s="1"/>
  <c r="AW18" i="1" s="1"/>
  <c r="AM18" i="1"/>
  <c r="AE18" i="1"/>
  <c r="AA18" i="1"/>
  <c r="V18" i="1"/>
  <c r="U18" i="1"/>
  <c r="S18" i="1"/>
  <c r="AY18" i="1" s="1"/>
  <c r="R18" i="1"/>
  <c r="BC17" i="1"/>
  <c r="AU17" i="1"/>
  <c r="AT17" i="1"/>
  <c r="AS17" i="1"/>
  <c r="AQ17" i="1"/>
  <c r="AN17" i="1"/>
  <c r="AO17" i="1" s="1"/>
  <c r="AW17" i="1" s="1"/>
  <c r="AM17" i="1"/>
  <c r="AE17" i="1"/>
  <c r="AA17" i="1"/>
  <c r="V17" i="1"/>
  <c r="U17" i="1"/>
  <c r="S17" i="1"/>
  <c r="AY17" i="1" s="1"/>
  <c r="R17" i="1"/>
  <c r="BC16" i="1"/>
  <c r="AU16" i="1"/>
  <c r="AT16" i="1"/>
  <c r="AS16" i="1"/>
  <c r="AQ16" i="1"/>
  <c r="AN16" i="1"/>
  <c r="AO16" i="1" s="1"/>
  <c r="AW16" i="1" s="1"/>
  <c r="AM16" i="1"/>
  <c r="AE16" i="1"/>
  <c r="AA16" i="1"/>
  <c r="V16" i="1"/>
  <c r="U16" i="1"/>
  <c r="S16" i="1"/>
  <c r="AY16" i="1" s="1"/>
  <c r="R16" i="1"/>
  <c r="BC15" i="1"/>
  <c r="AU15" i="1"/>
  <c r="AT15" i="1"/>
  <c r="AS15" i="1"/>
  <c r="AQ15" i="1"/>
  <c r="AN15" i="1"/>
  <c r="AO15" i="1" s="1"/>
  <c r="AW15" i="1" s="1"/>
  <c r="AM15" i="1"/>
  <c r="AE15" i="1"/>
  <c r="AA15" i="1"/>
  <c r="V15" i="1"/>
  <c r="U15" i="1"/>
  <c r="S15" i="1"/>
  <c r="R15" i="1"/>
  <c r="BC14" i="1"/>
  <c r="AU14" i="1"/>
  <c r="AT14" i="1"/>
  <c r="AS14" i="1"/>
  <c r="AQ14" i="1"/>
  <c r="AN14" i="1"/>
  <c r="AO14" i="1" s="1"/>
  <c r="AW14" i="1" s="1"/>
  <c r="AM14" i="1"/>
  <c r="AE14" i="1"/>
  <c r="AA14" i="1"/>
  <c r="V14" i="1"/>
  <c r="U14" i="1"/>
  <c r="S14" i="1"/>
  <c r="AY14" i="1" s="1"/>
  <c r="R14" i="1"/>
  <c r="BC13" i="1"/>
  <c r="AU13" i="1"/>
  <c r="AT13" i="1"/>
  <c r="AS13" i="1"/>
  <c r="AQ13" i="1"/>
  <c r="AN13" i="1"/>
  <c r="AO13" i="1" s="1"/>
  <c r="AW13" i="1" s="1"/>
  <c r="AM13" i="1"/>
  <c r="AE13" i="1"/>
  <c r="AA13" i="1"/>
  <c r="AB13" i="1" s="1"/>
  <c r="V13" i="1"/>
  <c r="U13" i="1"/>
  <c r="S13" i="1"/>
  <c r="AY13" i="1" s="1"/>
  <c r="R13" i="1"/>
  <c r="BC12" i="1"/>
  <c r="AU12" i="1"/>
  <c r="AT12" i="1"/>
  <c r="AS12" i="1"/>
  <c r="AQ12" i="1"/>
  <c r="AN12" i="1"/>
  <c r="AO12" i="1" s="1"/>
  <c r="AW12" i="1" s="1"/>
  <c r="AM12" i="1"/>
  <c r="AE12" i="1"/>
  <c r="AA12" i="1"/>
  <c r="V12" i="1"/>
  <c r="U12" i="1"/>
  <c r="S12" i="1"/>
  <c r="R12" i="1"/>
  <c r="BC11" i="1"/>
  <c r="AU11" i="1"/>
  <c r="AT11" i="1"/>
  <c r="AS11" i="1"/>
  <c r="AQ11" i="1"/>
  <c r="AN11" i="1"/>
  <c r="AO11" i="1" s="1"/>
  <c r="AW11" i="1" s="1"/>
  <c r="AM11" i="1"/>
  <c r="AE11" i="1"/>
  <c r="AA11" i="1"/>
  <c r="V11" i="1"/>
  <c r="U11" i="1"/>
  <c r="S11" i="1"/>
  <c r="AY11" i="1" s="1"/>
  <c r="R11" i="1"/>
  <c r="BC10" i="1"/>
  <c r="AU10" i="1"/>
  <c r="AT10" i="1"/>
  <c r="AS10" i="1"/>
  <c r="AQ10" i="1"/>
  <c r="AN10" i="1"/>
  <c r="AO10" i="1" s="1"/>
  <c r="AW10" i="1" s="1"/>
  <c r="AM10" i="1"/>
  <c r="AE10" i="1"/>
  <c r="AA10" i="1"/>
  <c r="V10" i="1"/>
  <c r="U10" i="1"/>
  <c r="S10" i="1"/>
  <c r="AY10" i="1" s="1"/>
  <c r="R10" i="1"/>
  <c r="BC9" i="1"/>
  <c r="AU9" i="1"/>
  <c r="AT9" i="1"/>
  <c r="AS9" i="1"/>
  <c r="AQ9" i="1"/>
  <c r="AN9" i="1"/>
  <c r="AO9" i="1" s="1"/>
  <c r="AW9" i="1" s="1"/>
  <c r="AM9" i="1"/>
  <c r="AE9" i="1"/>
  <c r="AA9" i="1"/>
  <c r="V9" i="1"/>
  <c r="U9" i="1"/>
  <c r="S9" i="1"/>
  <c r="AY9" i="1" s="1"/>
  <c r="R9" i="1"/>
  <c r="BC8" i="1"/>
  <c r="AU8" i="1"/>
  <c r="AT8" i="1"/>
  <c r="AS8" i="1"/>
  <c r="AQ8" i="1"/>
  <c r="AN8" i="1"/>
  <c r="AO8" i="1" s="1"/>
  <c r="AW8" i="1" s="1"/>
  <c r="AM8" i="1"/>
  <c r="AE8" i="1"/>
  <c r="AA8" i="1"/>
  <c r="V8" i="1"/>
  <c r="U8" i="1"/>
  <c r="S8" i="1"/>
  <c r="AY8" i="1" s="1"/>
  <c r="R8" i="1"/>
  <c r="BC7" i="1"/>
  <c r="AU7" i="1"/>
  <c r="AT7" i="1"/>
  <c r="AS7" i="1"/>
  <c r="AQ7" i="1"/>
  <c r="AN7" i="1"/>
  <c r="AO7" i="1" s="1"/>
  <c r="AW7" i="1" s="1"/>
  <c r="AM7" i="1"/>
  <c r="AE7" i="1"/>
  <c r="AA7" i="1"/>
  <c r="V7" i="1"/>
  <c r="U7" i="1"/>
  <c r="S7" i="1"/>
  <c r="AY7" i="1" s="1"/>
  <c r="R7" i="1"/>
  <c r="BC6" i="1"/>
  <c r="AU6" i="1"/>
  <c r="AT6" i="1"/>
  <c r="AS6" i="1"/>
  <c r="AQ6" i="1"/>
  <c r="AN6" i="1"/>
  <c r="AO6" i="1" s="1"/>
  <c r="AW6" i="1" s="1"/>
  <c r="AM6" i="1"/>
  <c r="AE6" i="1"/>
  <c r="AA6" i="1"/>
  <c r="V6" i="1"/>
  <c r="U6" i="1"/>
  <c r="S6" i="1"/>
  <c r="AY6" i="1" s="1"/>
  <c r="R6" i="1"/>
  <c r="BC5" i="1"/>
  <c r="AU5" i="1"/>
  <c r="AT5" i="1"/>
  <c r="AS5" i="1"/>
  <c r="AQ5" i="1"/>
  <c r="AN5" i="1"/>
  <c r="AO5" i="1" s="1"/>
  <c r="AW5" i="1" s="1"/>
  <c r="AM5" i="1"/>
  <c r="AE5" i="1"/>
  <c r="AA5" i="1"/>
  <c r="V5" i="1"/>
  <c r="U5" i="1"/>
  <c r="S5" i="1"/>
  <c r="AY5" i="1" s="1"/>
  <c r="R5" i="1"/>
  <c r="BC4" i="1"/>
  <c r="AU4" i="1"/>
  <c r="AT4" i="1"/>
  <c r="AS4" i="1"/>
  <c r="AQ4" i="1"/>
  <c r="AN4" i="1"/>
  <c r="AO4" i="1" s="1"/>
  <c r="AW4" i="1" s="1"/>
  <c r="AM4" i="1"/>
  <c r="AE4" i="1"/>
  <c r="AA4" i="1"/>
  <c r="V4" i="1"/>
  <c r="U4" i="1"/>
  <c r="S4" i="1"/>
  <c r="AY4" i="1" s="1"/>
  <c r="R4" i="1"/>
  <c r="BC3" i="1"/>
  <c r="AU3" i="1"/>
  <c r="AT3" i="1"/>
  <c r="AS3" i="1"/>
  <c r="AQ3" i="1"/>
  <c r="AN3" i="1"/>
  <c r="AO3" i="1" s="1"/>
  <c r="AW3" i="1" s="1"/>
  <c r="AM3" i="1"/>
  <c r="AE3" i="1"/>
  <c r="AA3" i="1"/>
  <c r="V3" i="1"/>
  <c r="U3" i="1"/>
  <c r="S3" i="1"/>
  <c r="AY3" i="1" s="1"/>
  <c r="R3" i="1"/>
  <c r="BC2" i="1"/>
  <c r="AU2" i="1"/>
  <c r="AT2" i="1"/>
  <c r="AS2" i="1"/>
  <c r="AQ2" i="1"/>
  <c r="AN2" i="1"/>
  <c r="AO2" i="1" s="1"/>
  <c r="AW2" i="1" s="1"/>
  <c r="AM2" i="1"/>
  <c r="AE2" i="1"/>
  <c r="AA2" i="1"/>
  <c r="V2" i="1"/>
  <c r="U2" i="1"/>
  <c r="S2" i="1"/>
  <c r="R2" i="1"/>
  <c r="AY25" i="1" l="1"/>
  <c r="AY15" i="1"/>
  <c r="S28" i="1"/>
  <c r="S27" i="1"/>
  <c r="AY27" i="1" s="1"/>
  <c r="W31" i="1"/>
  <c r="W33" i="1"/>
  <c r="W32" i="1"/>
  <c r="AY26" i="1"/>
  <c r="AP27" i="1"/>
  <c r="AX27" i="1"/>
  <c r="Y27" i="1"/>
  <c r="BB27" i="1" s="1"/>
  <c r="X27" i="1"/>
  <c r="AI27" i="1"/>
  <c r="AB27" i="1"/>
  <c r="AY33" i="1"/>
  <c r="AY23" i="1"/>
  <c r="AY32" i="1"/>
  <c r="AW31" i="1"/>
  <c r="AW33" i="1"/>
  <c r="AW32" i="1"/>
  <c r="AY30" i="1"/>
  <c r="AW29" i="1"/>
  <c r="AW28" i="1"/>
  <c r="AY2" i="1"/>
  <c r="AY12" i="1"/>
  <c r="AB28" i="1"/>
  <c r="AI28" i="1"/>
  <c r="AP24" i="1"/>
  <c r="AX24" i="1"/>
  <c r="AP21" i="1"/>
  <c r="AX21" i="1"/>
  <c r="AP7" i="1"/>
  <c r="AX7" i="1"/>
  <c r="Y17" i="1"/>
  <c r="BB17" i="1" s="1"/>
  <c r="X17" i="1"/>
  <c r="X22" i="1"/>
  <c r="Y22" i="1"/>
  <c r="BB22" i="1" s="1"/>
  <c r="X16" i="1"/>
  <c r="Y16" i="1"/>
  <c r="BB16" i="1" s="1"/>
  <c r="X23" i="1"/>
  <c r="Y23" i="1"/>
  <c r="BB23" i="1" s="1"/>
  <c r="X20" i="1"/>
  <c r="Y20" i="1"/>
  <c r="BB20" i="1" s="1"/>
  <c r="X19" i="1"/>
  <c r="Y19" i="1"/>
  <c r="BB19" i="1" s="1"/>
  <c r="X24" i="1"/>
  <c r="Y24" i="1"/>
  <c r="BB24" i="1" s="1"/>
  <c r="X25" i="1"/>
  <c r="Y25" i="1"/>
  <c r="BB25" i="1" s="1"/>
  <c r="X14" i="1"/>
  <c r="Y14" i="1"/>
  <c r="BB14" i="1" s="1"/>
  <c r="X15" i="1"/>
  <c r="Y15" i="1"/>
  <c r="BB15" i="1" s="1"/>
  <c r="X6" i="1"/>
  <c r="Y6" i="1"/>
  <c r="BB6" i="1" s="1"/>
  <c r="X8" i="1"/>
  <c r="Y8" i="1"/>
  <c r="BB8" i="1" s="1"/>
  <c r="X13" i="1"/>
  <c r="Y13" i="1"/>
  <c r="BB13" i="1" s="1"/>
  <c r="Y18" i="1"/>
  <c r="BB18" i="1" s="1"/>
  <c r="X18" i="1"/>
  <c r="X4" i="1"/>
  <c r="Y4" i="1"/>
  <c r="BB4" i="1" s="1"/>
  <c r="X10" i="1"/>
  <c r="Y10" i="1"/>
  <c r="BB10" i="1" s="1"/>
  <c r="X21" i="1"/>
  <c r="Y21" i="1"/>
  <c r="BB21" i="1" s="1"/>
  <c r="X7" i="1"/>
  <c r="Y7" i="1"/>
  <c r="BB7" i="1" s="1"/>
  <c r="X28" i="1"/>
  <c r="Y28" i="1"/>
  <c r="BB28" i="1" s="1"/>
  <c r="X11" i="1"/>
  <c r="Y11" i="1"/>
  <c r="BB11" i="1" s="1"/>
  <c r="X5" i="1"/>
  <c r="Y5" i="1"/>
  <c r="BB5" i="1" s="1"/>
  <c r="X29" i="1"/>
  <c r="Y29" i="1"/>
  <c r="X30" i="1"/>
  <c r="Y30" i="1"/>
  <c r="X12" i="1"/>
  <c r="Y12" i="1"/>
  <c r="BB12" i="1" s="1"/>
  <c r="Y3" i="1"/>
  <c r="BB3" i="1" s="1"/>
  <c r="X3" i="1"/>
  <c r="X2" i="1"/>
  <c r="Y2" i="1"/>
  <c r="BB2" i="1" s="1"/>
  <c r="X26" i="1"/>
  <c r="Y26" i="1"/>
  <c r="BB26" i="1" s="1"/>
  <c r="X9" i="1"/>
  <c r="Y9" i="1"/>
  <c r="BB9" i="1" s="1"/>
  <c r="V24" i="1"/>
  <c r="S24" i="1"/>
  <c r="AY28" i="1"/>
  <c r="AP33" i="1"/>
  <c r="AX33" i="1"/>
  <c r="AI33" i="1"/>
  <c r="AB33" i="1"/>
  <c r="AX32" i="1"/>
  <c r="AP32" i="1"/>
  <c r="AI32" i="1"/>
  <c r="AB32" i="1"/>
  <c r="AX31" i="1"/>
  <c r="AP31" i="1"/>
  <c r="AI31" i="1"/>
  <c r="AB31" i="1"/>
  <c r="AX30" i="1"/>
  <c r="AP30" i="1"/>
  <c r="AB30" i="1"/>
  <c r="AI30" i="1"/>
  <c r="AP29" i="1"/>
  <c r="AX29" i="1"/>
  <c r="AB29" i="1"/>
  <c r="AI29" i="1"/>
  <c r="AX28" i="1"/>
  <c r="AP28" i="1"/>
  <c r="AX26" i="1"/>
  <c r="AP26" i="1"/>
  <c r="AB26" i="1"/>
  <c r="AI26" i="1"/>
  <c r="AP25" i="1"/>
  <c r="AX25" i="1"/>
  <c r="AB25" i="1"/>
  <c r="AI25" i="1"/>
  <c r="AB24" i="1"/>
  <c r="AI24" i="1"/>
  <c r="AP23" i="1"/>
  <c r="AX23" i="1"/>
  <c r="AI23" i="1"/>
  <c r="AB23" i="1"/>
  <c r="AX22" i="1"/>
  <c r="AP22" i="1"/>
  <c r="AI22" i="1"/>
  <c r="AB22" i="1"/>
  <c r="AB21" i="1"/>
  <c r="AI21" i="1"/>
  <c r="AX20" i="1"/>
  <c r="AP20" i="1"/>
  <c r="AB20" i="1"/>
  <c r="AI20" i="1"/>
  <c r="AP19" i="1"/>
  <c r="AX19" i="1"/>
  <c r="AB19" i="1"/>
  <c r="AI19" i="1"/>
  <c r="AX18" i="1"/>
  <c r="AP18" i="1"/>
  <c r="AB18" i="1"/>
  <c r="AI18" i="1"/>
  <c r="AP17" i="1"/>
  <c r="AX17" i="1"/>
  <c r="AB17" i="1"/>
  <c r="AI17" i="1"/>
  <c r="AX16" i="1"/>
  <c r="AP16" i="1"/>
  <c r="AI16" i="1"/>
  <c r="AB16" i="1"/>
  <c r="AX15" i="1"/>
  <c r="AP15" i="1"/>
  <c r="AB15" i="1"/>
  <c r="AI15" i="1"/>
  <c r="AX14" i="1"/>
  <c r="AP14" i="1"/>
  <c r="AB14" i="1"/>
  <c r="AI14" i="1"/>
  <c r="AX13" i="1"/>
  <c r="AP13" i="1"/>
  <c r="AI13" i="1"/>
  <c r="AC13" i="1"/>
  <c r="AD13" i="1"/>
  <c r="AZ13" i="1" s="1"/>
  <c r="AP12" i="1"/>
  <c r="AX12" i="1"/>
  <c r="AB12" i="1"/>
  <c r="AI12" i="1"/>
  <c r="AP11" i="1"/>
  <c r="AX11" i="1"/>
  <c r="AI11" i="1"/>
  <c r="AB11" i="1"/>
  <c r="AP10" i="1"/>
  <c r="AX10" i="1"/>
  <c r="AI10" i="1"/>
  <c r="AB10" i="1"/>
  <c r="AX9" i="1"/>
  <c r="AP9" i="1"/>
  <c r="AI9" i="1"/>
  <c r="AB9" i="1"/>
  <c r="AX8" i="1"/>
  <c r="AP8" i="1"/>
  <c r="AI8" i="1"/>
  <c r="AB8" i="1"/>
  <c r="AI7" i="1"/>
  <c r="AB7" i="1"/>
  <c r="AX6" i="1"/>
  <c r="AP6" i="1"/>
  <c r="AI6" i="1"/>
  <c r="AB6" i="1"/>
  <c r="AX5" i="1"/>
  <c r="AP5" i="1"/>
  <c r="AI5" i="1"/>
  <c r="AB5" i="1"/>
  <c r="AX4" i="1"/>
  <c r="AP4" i="1"/>
  <c r="AI4" i="1"/>
  <c r="AB4" i="1"/>
  <c r="AX3" i="1"/>
  <c r="AP3" i="1"/>
  <c r="AB3" i="1"/>
  <c r="AI3" i="1"/>
  <c r="AX2" i="1"/>
  <c r="AP2" i="1"/>
  <c r="AB2" i="1"/>
  <c r="AI2" i="1"/>
  <c r="Y31" i="1" l="1"/>
  <c r="X31" i="1"/>
  <c r="Y33" i="1"/>
  <c r="X33" i="1"/>
  <c r="Y32" i="1"/>
  <c r="BB32" i="1" s="1"/>
  <c r="X32" i="1"/>
  <c r="AC28" i="1"/>
  <c r="AD28" i="1"/>
  <c r="AD27" i="1"/>
  <c r="AC27" i="1"/>
  <c r="BB29" i="1"/>
  <c r="BB30" i="1"/>
  <c r="BB33" i="1"/>
  <c r="BB31" i="1"/>
  <c r="AY24" i="1"/>
  <c r="AC33" i="1"/>
  <c r="AD33" i="1"/>
  <c r="AZ33" i="1" s="1"/>
  <c r="AC32" i="1"/>
  <c r="AD32" i="1"/>
  <c r="AC31" i="1"/>
  <c r="AD31" i="1"/>
  <c r="AC30" i="1"/>
  <c r="AD30" i="1"/>
  <c r="AC29" i="1"/>
  <c r="AD29" i="1"/>
  <c r="AZ29" i="1" s="1"/>
  <c r="AC26" i="1"/>
  <c r="AD26" i="1"/>
  <c r="AZ26" i="1" s="1"/>
  <c r="AC25" i="1"/>
  <c r="AD25" i="1"/>
  <c r="AZ25" i="1" s="1"/>
  <c r="AC24" i="1"/>
  <c r="AD24" i="1"/>
  <c r="AZ24" i="1" s="1"/>
  <c r="AC23" i="1"/>
  <c r="AD23" i="1"/>
  <c r="AZ23" i="1" s="1"/>
  <c r="AC22" i="1"/>
  <c r="AD22" i="1"/>
  <c r="AZ22" i="1" s="1"/>
  <c r="AC21" i="1"/>
  <c r="AD21" i="1"/>
  <c r="AZ21" i="1" s="1"/>
  <c r="AC20" i="1"/>
  <c r="AD20" i="1"/>
  <c r="AZ20" i="1" s="1"/>
  <c r="AD19" i="1"/>
  <c r="AZ19" i="1" s="1"/>
  <c r="AC19" i="1"/>
  <c r="AC18" i="1"/>
  <c r="AD18" i="1"/>
  <c r="AZ18" i="1" s="1"/>
  <c r="AD17" i="1"/>
  <c r="AZ17" i="1" s="1"/>
  <c r="AC17" i="1"/>
  <c r="AD16" i="1"/>
  <c r="AZ16" i="1" s="1"/>
  <c r="AC16" i="1"/>
  <c r="AC15" i="1"/>
  <c r="AD15" i="1"/>
  <c r="AZ15" i="1" s="1"/>
  <c r="AC14" i="1"/>
  <c r="AD14" i="1"/>
  <c r="AZ14" i="1" s="1"/>
  <c r="AC12" i="1"/>
  <c r="AD12" i="1"/>
  <c r="AZ12" i="1" s="1"/>
  <c r="AC11" i="1"/>
  <c r="AD11" i="1"/>
  <c r="AZ11" i="1" s="1"/>
  <c r="AC10" i="1"/>
  <c r="AD10" i="1"/>
  <c r="AZ10" i="1" s="1"/>
  <c r="AC9" i="1"/>
  <c r="AD9" i="1"/>
  <c r="AZ9" i="1" s="1"/>
  <c r="AC8" i="1"/>
  <c r="AD8" i="1"/>
  <c r="AZ8" i="1" s="1"/>
  <c r="AC7" i="1"/>
  <c r="AD7" i="1"/>
  <c r="AZ7" i="1" s="1"/>
  <c r="AC6" i="1"/>
  <c r="AD6" i="1"/>
  <c r="AZ6" i="1" s="1"/>
  <c r="AC5" i="1"/>
  <c r="AD5" i="1"/>
  <c r="AZ5" i="1" s="1"/>
  <c r="AD4" i="1"/>
  <c r="AZ4" i="1" s="1"/>
  <c r="AC4" i="1"/>
  <c r="AD3" i="1"/>
  <c r="AZ3" i="1" s="1"/>
  <c r="AC3" i="1"/>
  <c r="AD2" i="1"/>
  <c r="AC2" i="1"/>
  <c r="AZ28" i="1" l="1"/>
  <c r="AZ27" i="1"/>
  <c r="AZ32" i="1"/>
  <c r="AZ31" i="1"/>
  <c r="AZ30" i="1"/>
  <c r="AF27" i="1"/>
  <c r="AJ27" i="1"/>
  <c r="AJ14" i="1"/>
  <c r="AJ32" i="1"/>
  <c r="AJ2" i="1"/>
  <c r="AJ3" i="1"/>
  <c r="AJ4" i="1"/>
  <c r="AJ5" i="1"/>
  <c r="AJ20" i="1"/>
  <c r="AJ6" i="1"/>
  <c r="AJ7" i="1"/>
  <c r="AJ8" i="1"/>
  <c r="AJ9" i="1"/>
  <c r="AJ10" i="1"/>
  <c r="AJ11" i="1"/>
  <c r="AJ12" i="1"/>
  <c r="AF13" i="1"/>
  <c r="AJ13" i="1"/>
  <c r="AJ16" i="1"/>
  <c r="AJ17" i="1"/>
  <c r="AJ18" i="1"/>
  <c r="AJ21" i="1"/>
  <c r="AJ22" i="1"/>
  <c r="AJ19" i="1"/>
  <c r="AJ24" i="1"/>
  <c r="AJ25" i="1"/>
  <c r="AJ26" i="1"/>
  <c r="AJ15" i="1"/>
  <c r="AJ31" i="1"/>
  <c r="AJ33" i="1"/>
  <c r="AJ30" i="1"/>
  <c r="AJ29" i="1"/>
  <c r="AJ23" i="1"/>
  <c r="AF4" i="1"/>
  <c r="AF2" i="1"/>
  <c r="AF7" i="1"/>
  <c r="AF6" i="1"/>
  <c r="AF11" i="1"/>
  <c r="AF5" i="1"/>
  <c r="AF14" i="1"/>
  <c r="AF17" i="1"/>
  <c r="AF10" i="1"/>
  <c r="AF15" i="1"/>
  <c r="AF18" i="1"/>
  <c r="AF19" i="1"/>
  <c r="AF20" i="1"/>
  <c r="AF24" i="1"/>
  <c r="AF23" i="1"/>
  <c r="AF26" i="1"/>
  <c r="AF28" i="1"/>
  <c r="AJ28" i="1"/>
  <c r="AF12" i="1"/>
  <c r="AF29" i="1"/>
  <c r="AF31" i="1"/>
  <c r="AF9" i="1"/>
  <c r="AF16" i="1"/>
  <c r="AF33" i="1"/>
  <c r="AF32" i="1"/>
  <c r="AF3" i="1"/>
  <c r="AF8" i="1"/>
  <c r="AF21" i="1"/>
  <c r="AF22" i="1"/>
  <c r="AF25" i="1"/>
  <c r="AF30" i="1"/>
  <c r="AZ2" i="1"/>
  <c r="AH27" i="1" l="1"/>
  <c r="BA27" i="1" s="1"/>
  <c r="AG27" i="1"/>
  <c r="AL27" i="1"/>
  <c r="AK27" i="1"/>
  <c r="AL14" i="1"/>
  <c r="AK14" i="1"/>
  <c r="AL32" i="1"/>
  <c r="AK32" i="1"/>
  <c r="AL2" i="1"/>
  <c r="AK2" i="1"/>
  <c r="AL3" i="1"/>
  <c r="AK3" i="1"/>
  <c r="AL4" i="1"/>
  <c r="AK4" i="1"/>
  <c r="AL5" i="1"/>
  <c r="AK5" i="1"/>
  <c r="AL20" i="1"/>
  <c r="AK20" i="1"/>
  <c r="AL6" i="1"/>
  <c r="AK6" i="1"/>
  <c r="AL7" i="1"/>
  <c r="AK7" i="1"/>
  <c r="AL8" i="1"/>
  <c r="AK8" i="1"/>
  <c r="AL9" i="1"/>
  <c r="AK9" i="1"/>
  <c r="AL10" i="1"/>
  <c r="AK10" i="1"/>
  <c r="AL11" i="1"/>
  <c r="AK11" i="1"/>
  <c r="AL12" i="1"/>
  <c r="AK12" i="1"/>
  <c r="AH13" i="1"/>
  <c r="BA13" i="1" s="1"/>
  <c r="AG13" i="1"/>
  <c r="AL13" i="1"/>
  <c r="AK13" i="1"/>
  <c r="AL16" i="1"/>
  <c r="AK16" i="1"/>
  <c r="AL17" i="1"/>
  <c r="AK17" i="1"/>
  <c r="AK18" i="1"/>
  <c r="AL18" i="1"/>
  <c r="AL21" i="1"/>
  <c r="AK21" i="1"/>
  <c r="AL22" i="1"/>
  <c r="AK22" i="1"/>
  <c r="AL19" i="1"/>
  <c r="AK19" i="1"/>
  <c r="AL24" i="1"/>
  <c r="AK24" i="1"/>
  <c r="AL25" i="1"/>
  <c r="AK25" i="1"/>
  <c r="AL26" i="1"/>
  <c r="AK26" i="1"/>
  <c r="AL15" i="1"/>
  <c r="AK15" i="1"/>
  <c r="AL31" i="1"/>
  <c r="AK31" i="1"/>
  <c r="AL33" i="1"/>
  <c r="AK33" i="1"/>
  <c r="AL30" i="1"/>
  <c r="AK30" i="1"/>
  <c r="AL29" i="1"/>
  <c r="AK29" i="1"/>
  <c r="AL23" i="1"/>
  <c r="AK23" i="1"/>
  <c r="AH4" i="1"/>
  <c r="BA4" i="1" s="1"/>
  <c r="AG4" i="1"/>
  <c r="AH2" i="1"/>
  <c r="BA2" i="1" s="1"/>
  <c r="AG2" i="1"/>
  <c r="AH7" i="1"/>
  <c r="BA7" i="1" s="1"/>
  <c r="AG7" i="1"/>
  <c r="AH6" i="1"/>
  <c r="BA6" i="1" s="1"/>
  <c r="AG6" i="1"/>
  <c r="AH11" i="1"/>
  <c r="BA11" i="1" s="1"/>
  <c r="AG11" i="1"/>
  <c r="AH5" i="1"/>
  <c r="BA5" i="1" s="1"/>
  <c r="AG5" i="1"/>
  <c r="AH14" i="1"/>
  <c r="BA14" i="1" s="1"/>
  <c r="AG14" i="1"/>
  <c r="AG17" i="1"/>
  <c r="AH17" i="1"/>
  <c r="BA17" i="1" s="1"/>
  <c r="AH10" i="1"/>
  <c r="BA10" i="1" s="1"/>
  <c r="AG10" i="1"/>
  <c r="AH15" i="1"/>
  <c r="BA15" i="1" s="1"/>
  <c r="AG15" i="1"/>
  <c r="AG18" i="1"/>
  <c r="AH18" i="1"/>
  <c r="BA18" i="1" s="1"/>
  <c r="AH19" i="1"/>
  <c r="BA19" i="1" s="1"/>
  <c r="AG19" i="1"/>
  <c r="AH20" i="1"/>
  <c r="BA20" i="1" s="1"/>
  <c r="AG20" i="1"/>
  <c r="AH24" i="1"/>
  <c r="BA24" i="1" s="1"/>
  <c r="AG24" i="1"/>
  <c r="AH23" i="1"/>
  <c r="BA23" i="1" s="1"/>
  <c r="AG23" i="1"/>
  <c r="AH26" i="1"/>
  <c r="BA26" i="1" s="1"/>
  <c r="AG26" i="1"/>
  <c r="AH28" i="1"/>
  <c r="BA28" i="1" s="1"/>
  <c r="AG28" i="1"/>
  <c r="AL28" i="1"/>
  <c r="AK28" i="1"/>
  <c r="AH12" i="1"/>
  <c r="BA12" i="1" s="1"/>
  <c r="AG12" i="1"/>
  <c r="AH29" i="1"/>
  <c r="AG29" i="1"/>
  <c r="AH31" i="1"/>
  <c r="AG31" i="1"/>
  <c r="AH9" i="1"/>
  <c r="BA9" i="1" s="1"/>
  <c r="AG9" i="1"/>
  <c r="AH16" i="1"/>
  <c r="BA16" i="1" s="1"/>
  <c r="AG16" i="1"/>
  <c r="AH33" i="1"/>
  <c r="AG33" i="1"/>
  <c r="AH32" i="1"/>
  <c r="AG32" i="1"/>
  <c r="AG3" i="1"/>
  <c r="AH3" i="1"/>
  <c r="BA3" i="1" s="1"/>
  <c r="AH8" i="1"/>
  <c r="BA8" i="1" s="1"/>
  <c r="AG8" i="1"/>
  <c r="AH21" i="1"/>
  <c r="BA21" i="1" s="1"/>
  <c r="AG21" i="1"/>
  <c r="AH22" i="1"/>
  <c r="BA22" i="1" s="1"/>
  <c r="AG22" i="1"/>
  <c r="AH25" i="1"/>
  <c r="BA25" i="1" s="1"/>
  <c r="AG25" i="1"/>
  <c r="AH30" i="1"/>
  <c r="BA30" i="1" s="1"/>
  <c r="AG30" i="1"/>
  <c r="AR9" i="1" l="1"/>
  <c r="AR8" i="1"/>
  <c r="AR27" i="1"/>
  <c r="AR30" i="1"/>
  <c r="AR20" i="1"/>
  <c r="AR23" i="1"/>
  <c r="AR28" i="1"/>
  <c r="AR12" i="1"/>
  <c r="AR29" i="1"/>
  <c r="AR22" i="1"/>
  <c r="AR25" i="1"/>
  <c r="AR5" i="1"/>
  <c r="AR26" i="1"/>
  <c r="AR15" i="1"/>
  <c r="AR24" i="1"/>
  <c r="AR18" i="1"/>
  <c r="AR16" i="1"/>
  <c r="AR14" i="1"/>
  <c r="BA29" i="1"/>
  <c r="BA31" i="1"/>
  <c r="BA33" i="1"/>
  <c r="BA32" i="1"/>
  <c r="AR21" i="1"/>
  <c r="AR13" i="1"/>
  <c r="AR4" i="1"/>
  <c r="AR2" i="1"/>
  <c r="AR7" i="1"/>
  <c r="AR10" i="1"/>
  <c r="AR6" i="1"/>
  <c r="AR11" i="1"/>
  <c r="AR17" i="1"/>
  <c r="AR19" i="1"/>
  <c r="AR3" i="1"/>
</calcChain>
</file>

<file path=xl/sharedStrings.xml><?xml version="1.0" encoding="utf-8"?>
<sst xmlns="http://schemas.openxmlformats.org/spreadsheetml/2006/main" count="482" uniqueCount="252">
  <si>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</si>
  <si>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</si>
  <si>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</si>
  <si>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</si>
  <si>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</si>
  <si>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</si>
  <si>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</si>
  <si>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</si>
  <si>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</si>
  <si>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</si>
  <si>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</si>
  <si>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</si>
  <si>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</si>
  <si>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</si>
  <si>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</si>
  <si>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</si>
  <si>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</si>
  <si>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</si>
  <si>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</si>
  <si>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</si>
  <si>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</si>
  <si>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</si>
  <si>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</si>
  <si>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</si>
  <si>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</si>
  <si>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</si>
  <si>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</si>
  <si>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</si>
  <si>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</si>
  <si>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</si>
  <si>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</si>
  <si>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</si>
  <si>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</si>
  <si>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</si>
  <si>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</si>
  <si>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</si>
  <si>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</si>
  <si>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</si>
  <si>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</si>
  <si>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</si>
  <si>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</si>
  <si>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</si>
  <si>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</si>
  <si>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</si>
  <si>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</si>
  <si>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</si>
  <si>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</si>
  <si>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</si>
  <si>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</si>
  <si>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</si>
  <si>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</si>
  <si>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</si>
  <si>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</si>
  <si>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</si>
  <si>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</si>
  <si>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</si>
  <si>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</si>
  <si>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</si>
  <si>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</si>
  <si>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</si>
  <si>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</si>
  <si>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</si>
  <si>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</si>
  <si>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</si>
  <si>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</si>
  <si>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</si>
  <si>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</si>
  <si>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</si>
  <si>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</si>
  <si>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</si>
  <si>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</si>
  <si>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</si>
  <si>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</si>
  <si>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</si>
  <si>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</si>
  <si>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</si>
  <si>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</si>
  <si>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</si>
  <si>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</si>
  <si>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</si>
  <si>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</si>
  <si>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</si>
  <si>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</si>
  <si>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
### Fill pattern tops
&gt; [!IMPORTANT]
&gt; NEW FEATURE: **Fill pattern tops**  
&gt; Available in: [Nightly builds](https://github.com/OrcaSlicer/OrcaSlicer/releases/tag/nightly-builds) or Releases greater than **2.4.2**.
The square at the top of each cell is left open by default. This option covers those squares.
Whenever the pattern changes its print direction, extra lines are bridged across the squares of the previous layer. This is added on top of the normal pattern, which keeps its structural stability.
- **Disabled (default):** the squares are left open.
- **Enabled:** the squares are covered.
The option is only shown when the [Sparse infill pattern](strength_settings_infill#sparse-infill-pattern) is **3D Honeycomb** and the [Sparse infill density](strength_settings_infill#sparse-infill-density) is above 0%.
Useful for:
- **Functional parts**, for example keeping two channels (air and water) separate.
- **Artistic prints** where the upper surface of the pattern should be filled in.
&gt; [!NOTE]
&gt; It is disabled by default because the direction reversals and non-extrusion moves needed to cover the squares substantially slow down the print.
Behavior with other settings:
- **[Fill Multiline](strength_settings_infill#fill-multiline):** the cover is not multiplied by the number of lines. It is printed as a single zigzag pass, built up over as many layers as there are lines and changing direction on every layer.
- **Density:** the squares get smaller as the density increases (and larger with more [Fill Multiline](strength_settings_infill#fill-multiline) lines). When a square is too small to fit a cover line, none is generated, so the option has no effect at high densities.
- **Line spacing:** the cover lines are intentionally closer together than the line width, so the squares close without gaps.
&gt; [!NOTE]
&gt; The covers are bridges, and small pinholes can remain in them. Test your print if it must be airtight or watertight.</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</si>
  <si>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</si>
  <si>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</si>
  <si>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</si>
  <si>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</si>
  <si>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</si>
  <si>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</si>
  <si>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</si>
  <si>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</si>
  <si>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</si>
  <si>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</si>
  <si>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</si>
  <si>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</si>
  <si>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</si>
  <si>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</si>
  <si>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</si>
  <si>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</si>
  <si>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</si>
  <si>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</si>
  <si>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</si>
  <si>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</si>
  <si>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</si>
  <si>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</si>
  <si>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</si>
  <si>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</si>
  <si>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</si>
  <si>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</si>
  <si>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</si>
  <si>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</si>
  <si>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</si>
  <si>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</si>
  <si>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</si>
  <si>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</si>
  <si>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</si>
  <si>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</si>
  <si>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</si>
  <si>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</si>
  <si>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</si>
  <si>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</si>
  <si>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</si>
  <si>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</si>
  <si>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</si>
  <si>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</si>
  <si>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</si>
  <si>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</si>
  <si>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</si>
  <si>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</si>
  <si>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</si>
  <si>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</si>
  <si>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</si>
  <si>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</si>
  <si>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</si>
  <si>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</si>
  <si>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</si>
  <si>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</si>
  <si>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</si>
  <si>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</si>
  <si>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</si>
  <si>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</si>
  <si>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</si>
  <si>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</si>
  <si>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</si>
  <si>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</si>
  <si>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</si>
  <si>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</si>
  <si>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</si>
  <si>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</si>
  <si>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</si>
  <si>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</si>
  <si>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</si>
  <si>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</si>
  <si>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</si>
  <si>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</si>
  <si>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</si>
  <si>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</si>
  <si>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</si>
  <si>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</si>
  <si>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</si>
  <si>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</si>
  <si>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</si>
  <si>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</si>
  <si>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</si>
  <si>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</si>
  <si>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</si>
  <si>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</si>
  <si>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</si>
  <si>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</si>
  <si>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</si>
  <si>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</si>
  <si>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</si>
  <si>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</si>
  <si>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</si>
  <si>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</si>
  <si>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</si>
  <si>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</si>
  <si>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</si>
  <si>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</si>
  <si>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</si>
  <si>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</si>
  <si>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</si>
  <si>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</si>
  <si>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</si>
  <si>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</si>
  <si>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</si>
  <si>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</si>
  <si>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</si>
  <si>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</si>
  <si>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</si>
  <si>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</si>
  <si>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</si>
  <si>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</si>
  <si>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</si>
  <si>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</si>
  <si>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</si>
  <si>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</si>
  <si>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</si>
  <si>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</si>
  <si>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</si>
  <si>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</si>
  <si>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</si>
  <si>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</si>
  <si>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</si>
  <si>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</si>
  <si>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</si>
  <si>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</si>
  <si>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</si>
  <si>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</si>
  <si>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</si>
  <si>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</si>
  <si>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</si>
  <si>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</si>
  <si>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</si>
  <si>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</si>
  <si>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</si>
  <si>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</si>
  <si>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</si>
  <si>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</si>
  <si>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</si>
  <si>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</si>
  <si>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</si>
  <si>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</si>
  <si>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</si>
  <si>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</si>
  <si>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</si>
  <si>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</si>
  <si>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</si>
  <si>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</si>
  <si>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</si>
  <si>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</si>
  <si>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</si>
  <si>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</si>
  <si>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</si>
  <si>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</si>
  <si>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</si>
  <si>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</si>
  <si>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</si>
  <si>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</si>
  <si>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</si>
  <si>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</si>
  <si>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</si>
  <si>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</si>
  <si>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</si>
  <si>
    <t>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t>
  </si>
  <si>
    <t>Smooth Factor</t>
  </si>
  <si>
    <t>[Multiline](strength_settings_infill#fill-multiline) only</t>
  </si>
  <si>
    <t>Spiral Inset</t>
  </si>
  <si>
    <t>ipSpiralInset</t>
  </si>
  <si>
    <t>spiralinset</t>
  </si>
  <si>
    <t>Version of [Concentric](#concentric) that joins its loops into one continuous spiral: each loop is cut short and runs straight into the next loop inside it, instead of being printed as a separate closed loop.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</si>
</sst>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3">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8"/>
          <c:order val="22"/>
          <c:tx>
            <c:strRef>
              <c:f>'Layer Time'!$X$1</c:f>
              <c:strCache>
                <c:ptCount val="1"/>
                <c:pt idx="0">
                  <c:v>spiralinset</c:v>
                </c:pt>
              </c:strCache>
            </c:strRef>
          </c:tx>
          <c:spPr>
            <a:ln w="19050" cap="rnd">
              <a:solidFill>
                <a:srgbClr val="0000FF"/>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52.658999999999999</c:v>
                </c:pt>
                <c:pt idx="1">
                  <c:v>52.686</c:v>
                </c:pt>
                <c:pt idx="2">
                  <c:v>52.686</c:v>
                </c:pt>
                <c:pt idx="3">
                  <c:v>52.686</c:v>
                </c:pt>
                <c:pt idx="4">
                  <c:v>52.686</c:v>
                </c:pt>
                <c:pt idx="5">
                  <c:v>52.686</c:v>
                </c:pt>
                <c:pt idx="6">
                  <c:v>52.686</c:v>
                </c:pt>
                <c:pt idx="7">
                  <c:v>52.686</c:v>
                </c:pt>
                <c:pt idx="8">
                  <c:v>52.686</c:v>
                </c:pt>
                <c:pt idx="9">
                  <c:v>52.686</c:v>
                </c:pt>
                <c:pt idx="10">
                  <c:v>52.686</c:v>
                </c:pt>
                <c:pt idx="11">
                  <c:v>52.686</c:v>
                </c:pt>
                <c:pt idx="12">
                  <c:v>52.686</c:v>
                </c:pt>
                <c:pt idx="13">
                  <c:v>52.686</c:v>
                </c:pt>
                <c:pt idx="14">
                  <c:v>52.686</c:v>
                </c:pt>
                <c:pt idx="15">
                  <c:v>52.686</c:v>
                </c:pt>
                <c:pt idx="16">
                  <c:v>52.686</c:v>
                </c:pt>
                <c:pt idx="17">
                  <c:v>52.686</c:v>
                </c:pt>
                <c:pt idx="18">
                  <c:v>52.686</c:v>
                </c:pt>
                <c:pt idx="19">
                  <c:v>52.686</c:v>
                </c:pt>
                <c:pt idx="20">
                  <c:v>52.686</c:v>
                </c:pt>
                <c:pt idx="21">
                  <c:v>52.686</c:v>
                </c:pt>
                <c:pt idx="22">
                  <c:v>52.686</c:v>
                </c:pt>
                <c:pt idx="23">
                  <c:v>52.686</c:v>
                </c:pt>
                <c:pt idx="24">
                  <c:v>52.686</c:v>
                </c:pt>
                <c:pt idx="25">
                  <c:v>52.686</c:v>
                </c:pt>
                <c:pt idx="26">
                  <c:v>52.686</c:v>
                </c:pt>
                <c:pt idx="27">
                  <c:v>52.686</c:v>
                </c:pt>
                <c:pt idx="28">
                  <c:v>52.686</c:v>
                </c:pt>
                <c:pt idx="29">
                  <c:v>52.686</c:v>
                </c:pt>
                <c:pt idx="30">
                  <c:v>52.686</c:v>
                </c:pt>
                <c:pt idx="31">
                  <c:v>52.686</c:v>
                </c:pt>
                <c:pt idx="32">
                  <c:v>52.686</c:v>
                </c:pt>
                <c:pt idx="33">
                  <c:v>52.686</c:v>
                </c:pt>
                <c:pt idx="34">
                  <c:v>52.686</c:v>
                </c:pt>
                <c:pt idx="35">
                  <c:v>52.686</c:v>
                </c:pt>
                <c:pt idx="36">
                  <c:v>52.686</c:v>
                </c:pt>
                <c:pt idx="37">
                  <c:v>52.686</c:v>
                </c:pt>
                <c:pt idx="38">
                  <c:v>52.686</c:v>
                </c:pt>
                <c:pt idx="39">
                  <c:v>52.686</c:v>
                </c:pt>
                <c:pt idx="40">
                  <c:v>52.686</c:v>
                </c:pt>
                <c:pt idx="41">
                  <c:v>52.686</c:v>
                </c:pt>
                <c:pt idx="42">
                  <c:v>52.686</c:v>
                </c:pt>
                <c:pt idx="43">
                  <c:v>52.686</c:v>
                </c:pt>
                <c:pt idx="44">
                  <c:v>52.686</c:v>
                </c:pt>
                <c:pt idx="45">
                  <c:v>52.686</c:v>
                </c:pt>
                <c:pt idx="46">
                  <c:v>52.686</c:v>
                </c:pt>
                <c:pt idx="47">
                  <c:v>52.686</c:v>
                </c:pt>
                <c:pt idx="48">
                  <c:v>52.686</c:v>
                </c:pt>
                <c:pt idx="49">
                  <c:v>52.686</c:v>
                </c:pt>
                <c:pt idx="50">
                  <c:v>52.686</c:v>
                </c:pt>
                <c:pt idx="51">
                  <c:v>52.686</c:v>
                </c:pt>
                <c:pt idx="52">
                  <c:v>52.686</c:v>
                </c:pt>
                <c:pt idx="53">
                  <c:v>52.686</c:v>
                </c:pt>
                <c:pt idx="54">
                  <c:v>52.686</c:v>
                </c:pt>
                <c:pt idx="55">
                  <c:v>52.686</c:v>
                </c:pt>
                <c:pt idx="56">
                  <c:v>52.686</c:v>
                </c:pt>
                <c:pt idx="57">
                  <c:v>52.686</c:v>
                </c:pt>
                <c:pt idx="58">
                  <c:v>52.686</c:v>
                </c:pt>
                <c:pt idx="59">
                  <c:v>52.686</c:v>
                </c:pt>
                <c:pt idx="60">
                  <c:v>52.686</c:v>
                </c:pt>
                <c:pt idx="61">
                  <c:v>52.686</c:v>
                </c:pt>
                <c:pt idx="62">
                  <c:v>52.686</c:v>
                </c:pt>
                <c:pt idx="63">
                  <c:v>52.686</c:v>
                </c:pt>
                <c:pt idx="64">
                  <c:v>52.686</c:v>
                </c:pt>
                <c:pt idx="65">
                  <c:v>52.686</c:v>
                </c:pt>
                <c:pt idx="66">
                  <c:v>52.686</c:v>
                </c:pt>
                <c:pt idx="67">
                  <c:v>52.686</c:v>
                </c:pt>
                <c:pt idx="68">
                  <c:v>52.686</c:v>
                </c:pt>
                <c:pt idx="69">
                  <c:v>52.686</c:v>
                </c:pt>
                <c:pt idx="70">
                  <c:v>52.686</c:v>
                </c:pt>
                <c:pt idx="71">
                  <c:v>52.686</c:v>
                </c:pt>
                <c:pt idx="72">
                  <c:v>52.686</c:v>
                </c:pt>
                <c:pt idx="73">
                  <c:v>52.686</c:v>
                </c:pt>
                <c:pt idx="74">
                  <c:v>52.686</c:v>
                </c:pt>
                <c:pt idx="75">
                  <c:v>52.686</c:v>
                </c:pt>
                <c:pt idx="76">
                  <c:v>52.686</c:v>
                </c:pt>
                <c:pt idx="77">
                  <c:v>52.686</c:v>
                </c:pt>
                <c:pt idx="78">
                  <c:v>52.686</c:v>
                </c:pt>
                <c:pt idx="79">
                  <c:v>52.686</c:v>
                </c:pt>
                <c:pt idx="80">
                  <c:v>52.686</c:v>
                </c:pt>
                <c:pt idx="81">
                  <c:v>52.686</c:v>
                </c:pt>
                <c:pt idx="82">
                  <c:v>52.686</c:v>
                </c:pt>
                <c:pt idx="83">
                  <c:v>52.686</c:v>
                </c:pt>
                <c:pt idx="84">
                  <c:v>52.686</c:v>
                </c:pt>
                <c:pt idx="85">
                  <c:v>52.686</c:v>
                </c:pt>
                <c:pt idx="86">
                  <c:v>52.686</c:v>
                </c:pt>
                <c:pt idx="87">
                  <c:v>52.686</c:v>
                </c:pt>
                <c:pt idx="88">
                  <c:v>52.686</c:v>
                </c:pt>
                <c:pt idx="89">
                  <c:v>52.686</c:v>
                </c:pt>
                <c:pt idx="90">
                  <c:v>52.686</c:v>
                </c:pt>
                <c:pt idx="91">
                  <c:v>52.686</c:v>
                </c:pt>
                <c:pt idx="92">
                  <c:v>52.686</c:v>
                </c:pt>
                <c:pt idx="93">
                  <c:v>52.686</c:v>
                </c:pt>
                <c:pt idx="94">
                  <c:v>52.686</c:v>
                </c:pt>
                <c:pt idx="95">
                  <c:v>52.686</c:v>
                </c:pt>
                <c:pt idx="96">
                  <c:v>52.686</c:v>
                </c:pt>
                <c:pt idx="97">
                  <c:v>52.686</c:v>
                </c:pt>
                <c:pt idx="98">
                  <c:v>52.686</c:v>
                </c:pt>
                <c:pt idx="99">
                  <c:v>52.686</c:v>
                </c:pt>
                <c:pt idx="100">
                  <c:v>52.686</c:v>
                </c:pt>
                <c:pt idx="101">
                  <c:v>52.686</c:v>
                </c:pt>
                <c:pt idx="102">
                  <c:v>52.686</c:v>
                </c:pt>
                <c:pt idx="103">
                  <c:v>52.686</c:v>
                </c:pt>
                <c:pt idx="104">
                  <c:v>52.686</c:v>
                </c:pt>
                <c:pt idx="105">
                  <c:v>52.686</c:v>
                </c:pt>
                <c:pt idx="106">
                  <c:v>52.686</c:v>
                </c:pt>
                <c:pt idx="107">
                  <c:v>52.686</c:v>
                </c:pt>
                <c:pt idx="108">
                  <c:v>52.686</c:v>
                </c:pt>
                <c:pt idx="109">
                  <c:v>52.686</c:v>
                </c:pt>
                <c:pt idx="110">
                  <c:v>52.686</c:v>
                </c:pt>
                <c:pt idx="111">
                  <c:v>52.686</c:v>
                </c:pt>
                <c:pt idx="112">
                  <c:v>52.686</c:v>
                </c:pt>
                <c:pt idx="113">
                  <c:v>52.686</c:v>
                </c:pt>
                <c:pt idx="114">
                  <c:v>52.686</c:v>
                </c:pt>
                <c:pt idx="115">
                  <c:v>52.686</c:v>
                </c:pt>
                <c:pt idx="116">
                  <c:v>52.686</c:v>
                </c:pt>
                <c:pt idx="117">
                  <c:v>52.686</c:v>
                </c:pt>
                <c:pt idx="118">
                  <c:v>52.686</c:v>
                </c:pt>
                <c:pt idx="119">
                  <c:v>52.686</c:v>
                </c:pt>
                <c:pt idx="120">
                  <c:v>52.686</c:v>
                </c:pt>
                <c:pt idx="121">
                  <c:v>52.686</c:v>
                </c:pt>
                <c:pt idx="122">
                  <c:v>52.686</c:v>
                </c:pt>
                <c:pt idx="123">
                  <c:v>52.686</c:v>
                </c:pt>
                <c:pt idx="124">
                  <c:v>52.686</c:v>
                </c:pt>
                <c:pt idx="125">
                  <c:v>52.686</c:v>
                </c:pt>
                <c:pt idx="126">
                  <c:v>52.686</c:v>
                </c:pt>
                <c:pt idx="127">
                  <c:v>52.686</c:v>
                </c:pt>
                <c:pt idx="128">
                  <c:v>52.686</c:v>
                </c:pt>
                <c:pt idx="129">
                  <c:v>52.686</c:v>
                </c:pt>
                <c:pt idx="130">
                  <c:v>52.686</c:v>
                </c:pt>
                <c:pt idx="131">
                  <c:v>52.686</c:v>
                </c:pt>
                <c:pt idx="132">
                  <c:v>52.686</c:v>
                </c:pt>
                <c:pt idx="133">
                  <c:v>52.686</c:v>
                </c:pt>
                <c:pt idx="134">
                  <c:v>52.686</c:v>
                </c:pt>
                <c:pt idx="135">
                  <c:v>52.686</c:v>
                </c:pt>
                <c:pt idx="136">
                  <c:v>52.686</c:v>
                </c:pt>
                <c:pt idx="137">
                  <c:v>52.686</c:v>
                </c:pt>
                <c:pt idx="138">
                  <c:v>52.686</c:v>
                </c:pt>
                <c:pt idx="139">
                  <c:v>52.686</c:v>
                </c:pt>
                <c:pt idx="140">
                  <c:v>52.686</c:v>
                </c:pt>
                <c:pt idx="141">
                  <c:v>52.686</c:v>
                </c:pt>
                <c:pt idx="142">
                  <c:v>52.686</c:v>
                </c:pt>
                <c:pt idx="143">
                  <c:v>52.686</c:v>
                </c:pt>
                <c:pt idx="144">
                  <c:v>52.686</c:v>
                </c:pt>
                <c:pt idx="145">
                  <c:v>52.686</c:v>
                </c:pt>
                <c:pt idx="146">
                  <c:v>52.686</c:v>
                </c:pt>
                <c:pt idx="147">
                  <c:v>52.686</c:v>
                </c:pt>
                <c:pt idx="148">
                  <c:v>52.686</c:v>
                </c:pt>
                <c:pt idx="149">
                  <c:v>52.686</c:v>
                </c:pt>
                <c:pt idx="150">
                  <c:v>52.686</c:v>
                </c:pt>
                <c:pt idx="151">
                  <c:v>52.686</c:v>
                </c:pt>
                <c:pt idx="152">
                  <c:v>52.686</c:v>
                </c:pt>
                <c:pt idx="153">
                  <c:v>52.686</c:v>
                </c:pt>
                <c:pt idx="154">
                  <c:v>52.686</c:v>
                </c:pt>
                <c:pt idx="155">
                  <c:v>52.686</c:v>
                </c:pt>
                <c:pt idx="156">
                  <c:v>52.686</c:v>
                </c:pt>
                <c:pt idx="157">
                  <c:v>52.686</c:v>
                </c:pt>
                <c:pt idx="158">
                  <c:v>52.686</c:v>
                </c:pt>
                <c:pt idx="159">
                  <c:v>52.686</c:v>
                </c:pt>
                <c:pt idx="160">
                  <c:v>52.686</c:v>
                </c:pt>
                <c:pt idx="161">
                  <c:v>52.686</c:v>
                </c:pt>
                <c:pt idx="162">
                  <c:v>52.686</c:v>
                </c:pt>
                <c:pt idx="163">
                  <c:v>52.686</c:v>
                </c:pt>
                <c:pt idx="164">
                  <c:v>52.686</c:v>
                </c:pt>
                <c:pt idx="165">
                  <c:v>52.686</c:v>
                </c:pt>
                <c:pt idx="166">
                  <c:v>52.686</c:v>
                </c:pt>
                <c:pt idx="167">
                  <c:v>52.686</c:v>
                </c:pt>
                <c:pt idx="168">
                  <c:v>52.686</c:v>
                </c:pt>
                <c:pt idx="169">
                  <c:v>52.686</c:v>
                </c:pt>
                <c:pt idx="170">
                  <c:v>52.686</c:v>
                </c:pt>
                <c:pt idx="171">
                  <c:v>52.686</c:v>
                </c:pt>
                <c:pt idx="172">
                  <c:v>52.686</c:v>
                </c:pt>
                <c:pt idx="173">
                  <c:v>52.686</c:v>
                </c:pt>
                <c:pt idx="174">
                  <c:v>52.686</c:v>
                </c:pt>
                <c:pt idx="175">
                  <c:v>52.686</c:v>
                </c:pt>
                <c:pt idx="176">
                  <c:v>52.686</c:v>
                </c:pt>
                <c:pt idx="177">
                  <c:v>52.686</c:v>
                </c:pt>
                <c:pt idx="178">
                  <c:v>52.686</c:v>
                </c:pt>
                <c:pt idx="179">
                  <c:v>52.686</c:v>
                </c:pt>
                <c:pt idx="180">
                  <c:v>52.686</c:v>
                </c:pt>
                <c:pt idx="181">
                  <c:v>52.686</c:v>
                </c:pt>
                <c:pt idx="182">
                  <c:v>52.686</c:v>
                </c:pt>
                <c:pt idx="183">
                  <c:v>52.686</c:v>
                </c:pt>
                <c:pt idx="184">
                  <c:v>52.686</c:v>
                </c:pt>
                <c:pt idx="185">
                  <c:v>52.686</c:v>
                </c:pt>
                <c:pt idx="186">
                  <c:v>52.686</c:v>
                </c:pt>
                <c:pt idx="187">
                  <c:v>52.686</c:v>
                </c:pt>
                <c:pt idx="188">
                  <c:v>52.686</c:v>
                </c:pt>
                <c:pt idx="189">
                  <c:v>52.686</c:v>
                </c:pt>
                <c:pt idx="190">
                  <c:v>52.686</c:v>
                </c:pt>
                <c:pt idx="191">
                  <c:v>52.686</c:v>
                </c:pt>
                <c:pt idx="192">
                  <c:v>52.686</c:v>
                </c:pt>
                <c:pt idx="193">
                  <c:v>52.686</c:v>
                </c:pt>
                <c:pt idx="194">
                  <c:v>52.686</c:v>
                </c:pt>
                <c:pt idx="195">
                  <c:v>52.686</c:v>
                </c:pt>
                <c:pt idx="196">
                  <c:v>52.686</c:v>
                </c:pt>
                <c:pt idx="197">
                  <c:v>52.686</c:v>
                </c:pt>
                <c:pt idx="198">
                  <c:v>52.686</c:v>
                </c:pt>
                <c:pt idx="199">
                  <c:v>52.686</c:v>
                </c:pt>
                <c:pt idx="200">
                  <c:v>52.686</c:v>
                </c:pt>
                <c:pt idx="201">
                  <c:v>52.686</c:v>
                </c:pt>
                <c:pt idx="202">
                  <c:v>52.686</c:v>
                </c:pt>
                <c:pt idx="203">
                  <c:v>52.686</c:v>
                </c:pt>
                <c:pt idx="204">
                  <c:v>52.686</c:v>
                </c:pt>
                <c:pt idx="205">
                  <c:v>52.686</c:v>
                </c:pt>
                <c:pt idx="206">
                  <c:v>52.686</c:v>
                </c:pt>
                <c:pt idx="207">
                  <c:v>52.686</c:v>
                </c:pt>
                <c:pt idx="208">
                  <c:v>52.686</c:v>
                </c:pt>
                <c:pt idx="209">
                  <c:v>52.686</c:v>
                </c:pt>
                <c:pt idx="210">
                  <c:v>52.686</c:v>
                </c:pt>
                <c:pt idx="211">
                  <c:v>52.686</c:v>
                </c:pt>
                <c:pt idx="212">
                  <c:v>52.686</c:v>
                </c:pt>
                <c:pt idx="213">
                  <c:v>52.686</c:v>
                </c:pt>
                <c:pt idx="214">
                  <c:v>52.686</c:v>
                </c:pt>
                <c:pt idx="215">
                  <c:v>52.686</c:v>
                </c:pt>
                <c:pt idx="216">
                  <c:v>52.686</c:v>
                </c:pt>
                <c:pt idx="217">
                  <c:v>52.686</c:v>
                </c:pt>
                <c:pt idx="218">
                  <c:v>52.686</c:v>
                </c:pt>
                <c:pt idx="219">
                  <c:v>52.686</c:v>
                </c:pt>
                <c:pt idx="220">
                  <c:v>52.686</c:v>
                </c:pt>
                <c:pt idx="221">
                  <c:v>52.686</c:v>
                </c:pt>
                <c:pt idx="222">
                  <c:v>52.686</c:v>
                </c:pt>
                <c:pt idx="223">
                  <c:v>52.686</c:v>
                </c:pt>
                <c:pt idx="224">
                  <c:v>52.686</c:v>
                </c:pt>
                <c:pt idx="225">
                  <c:v>52.686</c:v>
                </c:pt>
                <c:pt idx="226">
                  <c:v>52.686</c:v>
                </c:pt>
                <c:pt idx="227">
                  <c:v>52.686</c:v>
                </c:pt>
                <c:pt idx="228">
                  <c:v>52.686</c:v>
                </c:pt>
                <c:pt idx="229">
                  <c:v>52.686</c:v>
                </c:pt>
                <c:pt idx="230">
                  <c:v>52.686</c:v>
                </c:pt>
                <c:pt idx="231">
                  <c:v>52.686</c:v>
                </c:pt>
                <c:pt idx="232">
                  <c:v>52.686</c:v>
                </c:pt>
                <c:pt idx="233">
                  <c:v>52.686</c:v>
                </c:pt>
                <c:pt idx="234">
                  <c:v>52.686</c:v>
                </c:pt>
                <c:pt idx="235">
                  <c:v>52.686</c:v>
                </c:pt>
                <c:pt idx="236">
                  <c:v>52.686</c:v>
                </c:pt>
                <c:pt idx="237">
                  <c:v>52.686</c:v>
                </c:pt>
                <c:pt idx="238">
                  <c:v>52.686</c:v>
                </c:pt>
                <c:pt idx="239">
                  <c:v>52.686</c:v>
                </c:pt>
                <c:pt idx="240">
                  <c:v>52.686</c:v>
                </c:pt>
                <c:pt idx="241">
                  <c:v>52.686</c:v>
                </c:pt>
                <c:pt idx="242">
                  <c:v>52.686</c:v>
                </c:pt>
                <c:pt idx="243">
                  <c:v>52.686</c:v>
                </c:pt>
                <c:pt idx="244">
                  <c:v>52.686</c:v>
                </c:pt>
                <c:pt idx="245">
                  <c:v>52.686</c:v>
                </c:pt>
                <c:pt idx="246">
                  <c:v>52.686</c:v>
                </c:pt>
                <c:pt idx="247">
                  <c:v>52.686</c:v>
                </c:pt>
                <c:pt idx="248">
                  <c:v>52.686</c:v>
                </c:pt>
                <c:pt idx="249">
                  <c:v>52.686</c:v>
                </c:pt>
                <c:pt idx="250">
                  <c:v>52.686</c:v>
                </c:pt>
                <c:pt idx="251">
                  <c:v>52.686</c:v>
                </c:pt>
                <c:pt idx="252">
                  <c:v>52.686</c:v>
                </c:pt>
                <c:pt idx="253">
                  <c:v>52.686</c:v>
                </c:pt>
                <c:pt idx="254">
                  <c:v>52.686</c:v>
                </c:pt>
                <c:pt idx="255">
                  <c:v>52.686</c:v>
                </c:pt>
                <c:pt idx="256">
                  <c:v>52.686</c:v>
                </c:pt>
                <c:pt idx="257">
                  <c:v>52.686</c:v>
                </c:pt>
                <c:pt idx="258">
                  <c:v>52.686</c:v>
                </c:pt>
                <c:pt idx="259">
                  <c:v>52.686</c:v>
                </c:pt>
                <c:pt idx="260">
                  <c:v>52.686</c:v>
                </c:pt>
                <c:pt idx="261">
                  <c:v>52.686</c:v>
                </c:pt>
                <c:pt idx="262">
                  <c:v>52.686</c:v>
                </c:pt>
                <c:pt idx="263">
                  <c:v>52.686</c:v>
                </c:pt>
                <c:pt idx="264">
                  <c:v>52.536000000000001</c:v>
                </c:pt>
              </c:numCache>
            </c:numRef>
          </c:yVal>
          <c:smooth val="0"/>
          <c:extLst>
            <c:ext xmlns:c16="http://schemas.microsoft.com/office/drawing/2014/chart" uri="{C3380CC4-5D6E-409C-BE32-E72D297353CC}">
              <c16:uniqueId val="{00000000-5BD8-4B3C-9B0F-19218CCCD03E}"/>
            </c:ext>
          </c:extLst>
        </c:ser>
        <c:ser>
          <c:idx val="22"/>
          <c:order val="23"/>
          <c:tx>
            <c:strRef>
              <c:f>'Layer Time'!$Y$1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4"/>
          <c:tx>
            <c:strRef>
              <c:f>'Layer Time'!$Z$1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5"/>
          <c:tx>
            <c:strRef>
              <c:f>'Layer Time'!$AA$1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6"/>
          <c:tx>
            <c:strRef>
              <c:f>'Layer Time'!$AB$1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7"/>
          <c:tx>
            <c:strRef>
              <c:f>'Layer Time'!$AC$1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8"/>
          <c:tx>
            <c:strRef>
              <c:f>'Layer Time'!$AD$1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Time'!$AD$2:$AD$499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31</xdr:col>
      <xdr:colOff>63552</xdr:colOff>
      <xdr:row>18</xdr:row>
      <xdr:rowOff>22412</xdr:rowOff>
    </xdr:from>
    <xdr:to>
      <xdr:col>50</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U33">
  <autoFilter ref="E1:AU33" xr:uid="{14E0E815-2798-4AE1-A846-B8CADCC14BD7}"/>
  <tableColumns count="43">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43" xr3:uid="{00000000-0010-0000-0000-00002B000000}" name="Smooth Factor"/>
    <tableColumn id="18" xr3:uid="{0AF02225-407A-4366-B524-2DC6A8FF6278}" name="Desc" dataDxfId="52" dataCellStyle="Porcentaje"/>
    <tableColumn id="9" xr3:uid="{EDA17F6B-F438-45F7-B1D4-D47E28684329}" name="XY-N" dataDxfId="51"/>
    <tableColumn id="39" xr3:uid="{D0C4CF46-9DE5-4575-8867-C201F9E3CC11}" name="X-Y Strength" dataDxfId="50">
      <calculatedColumnFormula>_xlfn.XLOOKUP(Infill[[#This Row],[XY-N]],Rating[N],Rating[Name])</calculatedColumnFormula>
    </tableColumn>
    <tableColumn id="17" xr3:uid="{94F205F5-D170-40A1-8C5F-879C636804AA}" name="X-Y Strength Icon" dataDxfId="49">
      <calculatedColumnFormula>_xlfn.XLOOKUP(Infill[[#This Row],[XY-N]],Rating[N],Rating[level-to-better])</calculatedColumnFormula>
    </tableColumn>
    <tableColumn id="20" xr3:uid="{E9317962-9E1D-4D5B-9028-66E03DB4FC89}" name="Z-N" dataDxfId="48"/>
    <tableColumn id="40" xr3:uid="{D897E7AE-1B44-47A7-A450-569D08BC82A1}" name="Z Strength" dataDxfId="47">
      <calculatedColumnFormula>_xlfn.XLOOKUP(Infill[[#This Row],[Z-N]],Rating[N],Rating[Name])</calculatedColumnFormula>
    </tableColumn>
    <tableColumn id="16" xr3:uid="{D6A80A00-4E52-418C-9F58-C091734E73D4}" name="Z Strength Icon" dataDxfId="46">
      <calculatedColumnFormula>_xlfn.XLOOKUP(Infill[[#This Row],[Z-N]],Rating[N],Rating[level-to-better])</calculatedColumnFormula>
    </tableColumn>
    <tableColumn id="36" xr3:uid="{918BEA11-B7B4-479C-8CBA-B8BD2242865D}" name="% 2 Sigma" dataDxfId="45" dataCellStyle="Porcentaje">
      <calculatedColumnFormula>_xlfn.XLOOKUP(Infill[[#This Row],[infill]],Tabla7[infill],Tabla7[% 2 Sigma])</calculatedColumnFormula>
    </tableColumn>
    <tableColumn id="35" xr3:uid="{4FE2BAB5-80F4-4510-9B09-4A9F8F3CE3E0}" name="Layer time Variability" dataDxfId="44">
      <calculatedColumnFormula>_xlfn.XLOOKUP(Infill[[#This Row],[% 2 Sigma]],AbsRating[Max %],AbsRating[Name],,1)</calculatedColumnFormula>
    </tableColumn>
    <tableColumn id="41" xr3:uid="{64E9E770-511D-47D0-ADEC-1FBFC98873E8}" name="Layer time Variability Icon" dataDxfId="43">
      <calculatedColumnFormula>_xlfn.XLOOKUP(Infill[[#This Row],[% 2 Sigma]],AbsRating[Max %],AbsRating[icon],,1)</calculatedColumnFormula>
    </tableColumn>
    <tableColumn id="15" xr3:uid="{A5F7A5DA-C5EE-4BAA-9BF1-1AF83AB88E06}" name="DensityCalc" dataDxfId="42" dataCellStyle="Porcentaje"/>
    <tableColumn id="3" xr3:uid="{E842218B-6949-43A1-A35A-6C35A7D812BB}" name="g" totalsRowFunction="average" totalsRowDxfId="41">
      <calculatedColumnFormula>_xlfn.XLOOKUP(Infill[[#This Row],[infill]],Tabla7[infill],Tabla7[g])</calculatedColumnFormula>
    </tableColumn>
    <tableColumn id="4" xr3:uid="{55891199-0C82-4B3C-B416-4BE5775CD688}" name="% Effective" totalsRowFunction="average" dataDxfId="40" totalsRowDxfId="39" dataCellStyle="Porcentaje">
      <calculatedColumnFormula>Infill[[#This Row],[g]]/(997.25*0.15)</calculatedColumnFormula>
    </tableColumn>
    <tableColumn id="5" xr3:uid="{9B655D73-D997-4337-A901-A49163D1DF99}" name="Material Usage" dataDxfId="38" totalsRowDxfId="37" dataCellStyle="Porcentaje">
      <calculatedColumnFormula>_xlfn.XLOOKUP(Infill[[#This Row],[% Effective]],Rating[Max %],Rating[Name],,1)</calculatedColumnFormula>
    </tableColumn>
    <tableColumn id="11" xr3:uid="{32CE485A-842B-45B3-8F5D-B93DF0C49C8F}" name="Material Usage Icon" dataDxfId="36" dataCellStyle="Porcentaje">
      <calculatedColumnFormula>_xlfn.XLOOKUP(Infill[[#This Row],[% Effective]],Rating[Max %],Rating[level-to-worse],,1)</calculatedColumnFormula>
    </tableColumn>
    <tableColumn id="6" xr3:uid="{C7DC0832-87AA-48F2-8845-AAE7F7254500}" name="Total Time" totalsRowFunction="average" dataDxfId="35">
      <calculatedColumnFormula>_xlfn.XLOOKUP(Infill[[#This Row],[infill]],Tabla7[infill],Tabla7[Total Time])</calculatedColumnFormula>
    </tableColumn>
    <tableColumn id="8" xr3:uid="{252F6390-A339-497F-955E-B7D85B035B56}" name="t prom" dataDxfId="34"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3" dataCellStyle="Porcentaje">
      <calculatedColumnFormula>_xlfn.XLOOKUP(Infill[[#This Row],[t prom]],Rating[Max %],Rating[Name],,1)</calculatedColumnFormula>
    </tableColumn>
    <tableColumn id="12" xr3:uid="{0224A6DD-647D-41E2-B74E-256AAEBCEDB8}" name="Print Time Icon" dataDxfId="32" dataCellStyle="Porcentaje">
      <calculatedColumnFormula>_xlfn.XLOOKUP(Infill[[#This Row],[t prom]],Rating[Max %],Rating[level-to-worse],,1)</calculatedColumnFormula>
    </tableColumn>
    <tableColumn id="7" xr3:uid="{3A33F243-4754-4015-A3B1-EEAA7B810730}" name="g/t" totalsRowFunction="average" dataDxfId="31" totalsRowDxfId="30" dataCellStyle="Porcentaje">
      <calculatedColumnFormula>Infill[[#This Row],[g]]/Infill[[#This Row],[Total Time]]</calculatedColumnFormula>
    </tableColumn>
    <tableColumn id="10" xr3:uid="{81F5FB07-EC80-4D98-B9AE-8EF8E1629F1A}" name="g/t prom" dataDxfId="29" dataCellStyle="Porcentaje">
      <calculatedColumnFormula>Infill[[#This Row],[g/t]]/AVERAGEIFS(Infill[g/t],Infill[Material Usage Icon],_xlfn.XLOOKUP("Normal",Rating[Name],Rating[level-to-worse]))</calculatedColumnFormula>
    </tableColumn>
    <tableColumn id="38" xr3:uid="{57768C7E-D4E7-4B00-AE42-71B67CAF781E}" name="Material/Time" dataDxfId="28" dataCellStyle="Porcentaje">
      <calculatedColumnFormula>_xlfn.XLOOKUP(Infill[[#This Row],[g/t prom]],Rating[Max %],Rating[Name],,1)</calculatedColumnFormula>
    </tableColumn>
    <tableColumn id="13" xr3:uid="{F80BCD33-B1E3-433F-AF6D-F982D670E727}" name="Material/Time Icon" dataDxfId="27" dataCellStyle="Porcentaje">
      <calculatedColumnFormula>_xlfn.XLOOKUP(Infill[[#This Row],[g/t prom]],Rating[Max %],Rating[level-to-better],,1)</calculatedColumnFormula>
    </tableColumn>
    <tableColumn id="19" xr3:uid="{44AE3D7E-C8D1-4165-B6BD-E525E4F90672}" name="nameMD" dataDxfId="26" dataCellStyle="Porcentaje">
      <calculatedColumnFormula>SUBSTITUTE(LOWER(Infill[[#This Row],[name]])," ","-")</calculatedColumnFormula>
    </tableColumn>
    <tableColumn id="33" xr3:uid="{9C188045-ECA6-4734-BC61-4D569A3256F0}" name="SVG" dataDxfId="25" dataCellStyle="Porcentaje"/>
    <tableColumn id="34" xr3:uid="{45B271D4-A035-4A01-B06E-E3B623BB568E}" name="SVG Link" dataDxfId="24">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3" dataCellStyle="Porcentaje">
      <calculatedColumnFormula>"["&amp;Infill[[#This Row],[name]]&amp;"](#"&amp;Infill[[#This Row],[nameMD]]&amp;")"</calculatedColumnFormula>
    </tableColumn>
    <tableColumn id="31" xr3:uid="{D12C345A-0415-4208-969C-FE76BD14B76A}" name="Applies to" dataDxfId="22"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1"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20" dataCellStyle="Porcentaje">
      <calculatedColumnFormula>IF(OR(Infill[[#This Row],[Is Infill]],Infill[[#This Row],[Is Surface]])," { """&amp;Infill[[#This Row],[infill]]&amp;""", "&amp;Infill[[#This Row],[ip]]&amp;" },","")</calculatedColumnFormula>
    </tableColumn>
    <tableColumn id="30" xr3:uid="{DF1D46A6-663C-4993-9678-9483ECBDC09A}" name="Enum Pattern" dataDxfId="19" dataCellStyle="Porcentaje">
      <calculatedColumnFormula>IF(OR(Infill[[#This Row],[Is Infill]],Infill[[#This Row],[Is Surface]]),"def-&gt;enum_values.push_back("""&amp;Infill[[#This Row],[infill]]&amp;""");","")</calculatedColumnFormula>
    </tableColumn>
    <tableColumn id="29" xr3:uid="{A375012B-C9F3-4FDF-8EA3-593D97EDEB2B}" name="Enum Pattern Names" dataDxfId="18"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W1:BC33" totalsRowShown="0">
  <autoFilter ref="AW1:BC33" xr:uid="{F85400E8-93F1-42C5-93F9-13851BAE5398}"/>
  <tableColumns count="7">
    <tableColumn id="1" xr3:uid="{184C8A2D-5FE4-4972-8525-02DD0ED763F3}" name="-" dataDxfId="17">
      <calculatedColumnFormula>Infill[[#This Row],[SVG Link]]</calculatedColumnFormula>
    </tableColumn>
    <tableColumn id="2" xr3:uid="{14A2CB57-4B88-4948-ABB5-B4E1F3AB50EF}" name="Pattern" dataDxfId="16">
      <calculatedColumnFormula>"["&amp;Infill[[#This Row],[name]]&amp;"](strength_settings_patterns#"&amp;Infill[[#This Row],[nameMD]]&amp;")"</calculatedColumnFormula>
    </tableColumn>
    <tableColumn id="4" xr3:uid="{F83791FA-52BD-4574-8359-2DC84F1575E3}" name="Strength" dataDxfId="15">
      <calculatedColumnFormula>"X-Y: "&amp;Infill[[#This Row],[X-Y Strength Icon]]&amp;"
Z: "&amp;Infill[[#This Row],[Z Strength Icon]]</calculatedColumnFormula>
    </tableColumn>
    <tableColumn id="6" xr3:uid="{630ACA64-21F3-4422-B317-D820E5C1F820}" name="Material Usage" dataDxfId="14">
      <calculatedColumnFormula>Infill[[#This Row],[Material Usage Icon]]</calculatedColumnFormula>
    </tableColumn>
    <tableColumn id="7" xr3:uid="{5F0A6FFD-7381-42EE-8794-FC0492BBA85C}" name="Print Time" dataDxfId="13">
      <calculatedColumnFormula>Infill[[#This Row],[Print Time Icon]]</calculatedColumnFormula>
    </tableColumn>
    <tableColumn id="8" xr3:uid="{741AF022-B1AE-402B-B8D7-B250EA1C1E2F}" name="Layer time Variability" dataDxfId="12">
      <calculatedColumnFormula>Infill[[#This Row],[Layer time Variability Icon]]</calculatedColumnFormula>
    </tableColumn>
    <tableColumn id="3" xr3:uid="{5BC956C2-680D-4EA4-B314-7B5BB54F4D24}" name="Multiline" dataDxfId="11">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10" dataCellStyle="Porcentaje"/>
    <tableColumn id="3" xr3:uid="{18E14714-6899-4575-90B8-4F97863AF141}" name="Name"/>
    <tableColumn id="4" xr3:uid="{196C1C15-3FEB-43E7-91D1-43CC20274E9E}" name="level-to-worse" dataDxfId="9">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8">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7"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D499" totalsRowShown="0">
  <autoFilter ref="A1:AD499" xr:uid="{D77C3889-3BED-4ACC-9B2D-7AC9FA1E3EC8}"/>
  <tableColumns count="30">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3" xr3:uid="{70B93460-DBFE-42A1-BC11-846C38C28121}" name="spiralinset" dataDxfId="6"/>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30" totalsRowShown="0">
  <autoFilter ref="C1:H30" xr:uid="{DBE2B360-D46E-49E1-85A8-05F2FAFBD385}"/>
  <sortState xmlns:xlrd2="http://schemas.microsoft.com/office/spreadsheetml/2017/richdata2" ref="C2:H30">
    <sortCondition ref="H1:H30"/>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73F6C06-FC16-4BF4-82B3-8E4C361CC934}">
  <we:reference id="wa200010725" version="1.0.0.1" store="es-AR" storeType="OMEX"/>
  <we:alternateReferences>
    <we:reference id="WA200010725" version="1.0.0.1" store="" storeType="OMEX"/>
  </we:alternateReferences>
  <we:properties>
    <we:property name="claude.fileId" value="&quot;13f0642a-db26-4447-8bab-d0a4b43117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C37"/>
  <sheetViews>
    <sheetView tabSelected="1" topLeftCell="B12" zoomScale="70" zoomScaleNormal="70" workbookViewId="0">
      <selection activeCell="O13" sqref="O13"/>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2.28515625" customWidth="1"/>
    <col min="16" max="16" width="30.7109375" bestFit="1" customWidth="1"/>
    <col min="17" max="17" width="11.140625" bestFit="1" customWidth="1"/>
    <col min="18" max="18" width="11.140625" customWidth="1"/>
    <col min="19" max="19" width="20" bestFit="1" customWidth="1"/>
    <col min="20" max="20" width="9.28515625" bestFit="1" customWidth="1"/>
    <col min="21" max="21" width="9.28515625" customWidth="1"/>
    <col min="22" max="22" width="16.85546875" bestFit="1" customWidth="1"/>
    <col min="23" max="23" width="16.7109375" bestFit="1" customWidth="1"/>
    <col min="24" max="24" width="28.7109375" bestFit="1" customWidth="1"/>
    <col min="25" max="25" width="28.7109375" customWidth="1"/>
    <col min="26" max="26" width="52.140625" bestFit="1" customWidth="1"/>
    <col min="27" max="27" width="10" bestFit="1" customWidth="1"/>
    <col min="28" max="28" width="17.7109375" bestFit="1" customWidth="1"/>
    <col min="29" max="29" width="17.7109375" customWidth="1"/>
    <col min="30" max="30" width="21.7109375" bestFit="1" customWidth="1"/>
    <col min="31" max="31" width="16.7109375" bestFit="1" customWidth="1"/>
    <col min="32" max="32" width="12" bestFit="1" customWidth="1"/>
    <col min="33" max="33" width="12" customWidth="1"/>
    <col min="34" max="34" width="16.28515625" bestFit="1" customWidth="1"/>
    <col min="35" max="35" width="8.28515625" bestFit="1" customWidth="1"/>
    <col min="36" max="36" width="14.28515625" bestFit="1" customWidth="1"/>
    <col min="37" max="37" width="14.28515625" customWidth="1"/>
    <col min="38" max="38" width="20.140625" bestFit="1" customWidth="1"/>
    <col min="39" max="39" width="21.5703125" bestFit="1" customWidth="1"/>
    <col min="40" max="40" width="27.85546875" bestFit="1" customWidth="1"/>
    <col min="41" max="41" width="166" bestFit="1" customWidth="1"/>
    <col min="42" max="42" width="45.85546875" bestFit="1" customWidth="1"/>
    <col min="43" max="43" width="119.5703125" bestFit="1" customWidth="1"/>
    <col min="44" max="44" width="255.7109375" bestFit="1" customWidth="1"/>
    <col min="45" max="45" width="48.140625" bestFit="1" customWidth="1"/>
    <col min="46" max="46" width="54.28515625" bestFit="1" customWidth="1"/>
    <col min="47" max="47" width="56.85546875" bestFit="1" customWidth="1"/>
    <col min="48" max="48" width="12.5703125" bestFit="1" customWidth="1"/>
    <col min="49" max="49" width="139.140625" bestFit="1" customWidth="1"/>
    <col min="50" max="50" width="45.85546875" bestFit="1" customWidth="1"/>
    <col min="51" max="51" width="21.5703125" bestFit="1" customWidth="1"/>
    <col min="52" max="52" width="21.7109375" customWidth="1"/>
    <col min="53" max="53" width="16.42578125" bestFit="1" customWidth="1"/>
    <col min="54" max="54" width="28.7109375" bestFit="1" customWidth="1"/>
  </cols>
  <sheetData>
    <row r="1" spans="1:55" x14ac:dyDescent="0.25">
      <c r="A1" t="s">
        <v>35</v>
      </c>
      <c r="B1" t="s">
        <v>36</v>
      </c>
      <c r="E1" t="s">
        <v>159</v>
      </c>
      <c r="F1" t="s">
        <v>144</v>
      </c>
      <c r="G1" t="s">
        <v>145</v>
      </c>
      <c r="H1" t="s">
        <v>166</v>
      </c>
      <c r="I1" t="s">
        <v>116</v>
      </c>
      <c r="J1" t="s">
        <v>149</v>
      </c>
      <c r="K1" t="s">
        <v>115</v>
      </c>
      <c r="L1" t="s">
        <v>141</v>
      </c>
      <c r="M1" t="s">
        <v>214</v>
      </c>
      <c r="N1" t="s">
        <v>242</v>
      </c>
      <c r="O1" t="s">
        <v>246</v>
      </c>
      <c r="P1" t="s">
        <v>37</v>
      </c>
      <c r="Q1" t="s">
        <v>41</v>
      </c>
      <c r="R1" t="s">
        <v>26</v>
      </c>
      <c r="S1" t="s">
        <v>225</v>
      </c>
      <c r="T1" t="s">
        <v>42</v>
      </c>
      <c r="U1" t="s">
        <v>27</v>
      </c>
      <c r="V1" t="s">
        <v>226</v>
      </c>
      <c r="W1" t="s">
        <v>191</v>
      </c>
      <c r="X1" t="s">
        <v>184</v>
      </c>
      <c r="Y1" t="s">
        <v>236</v>
      </c>
      <c r="Z1" t="s">
        <v>25</v>
      </c>
      <c r="AA1" t="s">
        <v>28</v>
      </c>
      <c r="AB1" t="s">
        <v>69</v>
      </c>
      <c r="AC1" t="s">
        <v>19</v>
      </c>
      <c r="AD1" t="s">
        <v>222</v>
      </c>
      <c r="AE1" s="1" t="s">
        <v>43</v>
      </c>
      <c r="AF1" t="s">
        <v>71</v>
      </c>
      <c r="AG1" t="s">
        <v>78</v>
      </c>
      <c r="AH1" t="s">
        <v>223</v>
      </c>
      <c r="AI1" t="s">
        <v>44</v>
      </c>
      <c r="AJ1" t="s">
        <v>70</v>
      </c>
      <c r="AK1" t="s">
        <v>63</v>
      </c>
      <c r="AL1" t="s">
        <v>224</v>
      </c>
      <c r="AM1" t="s">
        <v>163</v>
      </c>
      <c r="AN1" t="s">
        <v>154</v>
      </c>
      <c r="AO1" t="s">
        <v>155</v>
      </c>
      <c r="AP1" t="s">
        <v>79</v>
      </c>
      <c r="AQ1" t="s">
        <v>171</v>
      </c>
      <c r="AR1" t="s">
        <v>75</v>
      </c>
      <c r="AS1" t="s">
        <v>148</v>
      </c>
      <c r="AT1" t="s">
        <v>146</v>
      </c>
      <c r="AU1" t="s">
        <v>147</v>
      </c>
      <c r="AW1" s="9" t="s">
        <v>180</v>
      </c>
      <c r="AX1" t="s">
        <v>79</v>
      </c>
      <c r="AY1" t="s">
        <v>194</v>
      </c>
      <c r="AZ1" t="s">
        <v>19</v>
      </c>
      <c r="BA1" t="s">
        <v>78</v>
      </c>
      <c r="BB1" t="s">
        <v>184</v>
      </c>
      <c r="BC1" t="s">
        <v>214</v>
      </c>
    </row>
    <row r="2" spans="1:55" ht="314.25" customHeight="1" x14ac:dyDescent="0.25">
      <c r="A2" t="s">
        <v>29</v>
      </c>
      <c r="B2" t="s">
        <v>45</v>
      </c>
      <c r="E2">
        <v>0</v>
      </c>
      <c r="F2" t="b">
        <v>0</v>
      </c>
      <c r="G2" t="b">
        <v>1</v>
      </c>
      <c r="H2" t="b">
        <v>0</v>
      </c>
      <c r="I2" t="s">
        <v>142</v>
      </c>
      <c r="J2" t="s">
        <v>150</v>
      </c>
      <c r="K2" t="s">
        <v>98</v>
      </c>
      <c r="L2" t="s">
        <v>139</v>
      </c>
      <c r="M2" t="s">
        <v>215</v>
      </c>
      <c r="N2" t="s">
        <v>215</v>
      </c>
      <c r="O2" t="s">
        <v>215</v>
      </c>
      <c r="P2" s="8" t="s">
        <v>157</v>
      </c>
      <c r="Q2">
        <v>4</v>
      </c>
      <c r="R2" t="str">
        <f>_xlfn.XLOOKUP(Infill[[#This Row],[XY-N]],Rating[N],Rating[Name])</f>
        <v>Normal</v>
      </c>
      <c r="S2" t="str">
        <f>_xlfn.XLOOKUP(Infill[[#This Row],[XY-N]],Rating[N],Rating[level-to-better])</f>
        <v>![level-to-better-4](https://github.com/OrcaSlicer/OrcaSlicer_WIKI/blob/main/images/misc/level-to-better-4.svg?raw=true)</v>
      </c>
      <c r="T2">
        <v>4</v>
      </c>
      <c r="U2" t="str">
        <f>_xlfn.XLOOKUP(Infill[[#This Row],[Z-N]],Rating[N],Rating[Name])</f>
        <v>Normal</v>
      </c>
      <c r="V2" t="str">
        <f>_xlfn.XLOOKUP(Infill[[#This Row],[Z-N]],Rating[N],Rating[level-to-better])</f>
        <v>![level-to-better-4](https://github.com/OrcaSlicer/OrcaSlicer_WIKI/blob/main/images/misc/level-to-better-4.svg?raw=true)</v>
      </c>
      <c r="W2" s="11">
        <f ca="1">_xlfn.XLOOKUP(Infill[[#This Row],[infill]],Tabla7[infill],Tabla7[% 2 Sigma])</f>
        <v>2.6864815256315566E-3</v>
      </c>
      <c r="X2" t="str">
        <f ca="1">_xlfn.XLOOKUP(Infill[[#This Row],[% 2 Sigma]],AbsRating[Max %],AbsRating[Name],,1)</f>
        <v>None</v>
      </c>
      <c r="Y2" t="str">
        <f ca="1">_xlfn.XLOOKUP(Infill[[#This Row],[% 2 Sigma]],AbsRating[Max %],AbsRating[icon],,1)</f>
        <v>![level-to-worse-0](https://github.com/OrcaSlicer/OrcaSlicer_WIKI/blob/main/images/misc/level-to-worse-0.svg?raw=true)</v>
      </c>
      <c r="Z2" s="2" t="s">
        <v>72</v>
      </c>
      <c r="AA2">
        <f>_xlfn.XLOOKUP(Infill[[#This Row],[infill]],Tabla7[infill],Tabla7[g])</f>
        <v>150.21100000000001</v>
      </c>
      <c r="AB2" s="2">
        <f>Infill[[#This Row],[g]]/(997.25*0.15)</f>
        <v>1.0041681290214757</v>
      </c>
      <c r="AC2" s="2" t="str">
        <f>_xlfn.XLOOKUP(Infill[[#This Row],[% Effective]],Rating[Max %],Rating[Name],,1)</f>
        <v>Normal</v>
      </c>
      <c r="AD2" s="2" t="str">
        <f>_xlfn.XLOOKUP(Infill[[#This Row],[% Effective]],Rating[Max %],Rating[level-to-worse],,1)</f>
        <v>![level-to-worse-4](https://github.com/OrcaSlicer/OrcaSlicer_WIKI/blob/main/images/misc/level-to-worse-4.svg?raw=true)</v>
      </c>
      <c r="AE2">
        <f>_xlfn.XLOOKUP(Infill[[#This Row],[infill]],Tabla7[infill],Tabla7[Total Time])</f>
        <v>245.49700000000001</v>
      </c>
      <c r="AF2" s="2">
        <f>Infill[[#This Row],[Total Time]]/AVERAGEIFS(Infill[Total Time],Infill[Material Usage Icon],_xlfn.XLOOKUP("Normal",Rating[Name],Rating[level-to-worse]))</f>
        <v>0.81410180253698927</v>
      </c>
      <c r="AG2" s="2" t="str">
        <f>_xlfn.XLOOKUP(Infill[[#This Row],[t prom]],Rating[Max %],Rating[Name],,1)</f>
        <v>Normal-Low</v>
      </c>
      <c r="AH2" s="2" t="str">
        <f>_xlfn.XLOOKUP(Infill[[#This Row],[t prom]],Rating[Max %],Rating[level-to-worse],,1)</f>
        <v>![level-to-worse-3](https://github.com/OrcaSlicer/OrcaSlicer_WIKI/blob/main/images/misc/level-to-worse-3.svg?raw=true)</v>
      </c>
      <c r="AI2" s="3">
        <f>Infill[[#This Row],[g]]/Infill[[#This Row],[Total Time]]</f>
        <v>0.61186491077284044</v>
      </c>
      <c r="AJ2" s="2">
        <f>Infill[[#This Row],[g/t]]/AVERAGEIFS(Infill[g/t],Infill[Material Usage Icon],_xlfn.XLOOKUP("Normal",Rating[Name],Rating[level-to-worse]))</f>
        <v>1.1142566464523516</v>
      </c>
      <c r="AK2" s="2" t="str">
        <f>_xlfn.XLOOKUP(Infill[[#This Row],[g/t prom]],Rating[Max %],Rating[Name],,1)</f>
        <v>Normal-High</v>
      </c>
      <c r="AL2" s="2" t="str">
        <f>_xlfn.XLOOKUP(Infill[[#This Row],[g/t prom]],Rating[Max %],Rating[level-to-better],,1)</f>
        <v>![level-to-better-5](https://github.com/OrcaSlicer/OrcaSlicer_WIKI/blob/main/images/misc/level-to-better-5.svg?raw=true)</v>
      </c>
      <c r="AM2" s="2" t="str">
        <f>SUBSTITUTE(LOWER(Infill[[#This Row],[name]])," ","-")</f>
        <v>monotonic</v>
      </c>
      <c r="AN2" t="str">
        <f>"param_"&amp;Infill[[#This Row],[infill]]</f>
        <v>param_monotonic</v>
      </c>
      <c r="AO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P2" s="2" t="str">
        <f>"["&amp;Infill[[#This Row],[name]]&amp;"](#"&amp;Infill[[#This Row],[nameMD]]&amp;")"</f>
        <v>[Monotonic](#monotonic)</v>
      </c>
      <c r="AQ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![infill-top-monotonic](https://github.com/OrcaSlicer/OrcaSlicer_WIKI/blob/main/images/fill/infill-top-monotonic.png?raw=true)
</v>
      </c>
      <c r="AS2" t="str">
        <f>IF(OR(Infill[[#This Row],[Is Infill]],Infill[[#This Row],[Is Surface]])," { """&amp;Infill[[#This Row],[infill]]&amp;""", "&amp;Infill[[#This Row],[ip]]&amp;" },","")</f>
        <v xml:space="preserve"> { "monotonic", ipMonotonic },</v>
      </c>
      <c r="AT2" t="str">
        <f>IF(OR(Infill[[#This Row],[Is Infill]],Infill[[#This Row],[Is Surface]]),"def-&gt;enum_values.push_back("""&amp;Infill[[#This Row],[infill]]&amp;""");","")</f>
        <v>def-&gt;enum_values.push_back("monotonic");</v>
      </c>
      <c r="AU2" t="str">
        <f>IF(OR(Infill[[#This Row],[Is Infill]],Infill[[#This Row],[Is Surface]]),"def-&gt;enum_labels.push_back(L("""&amp;Infill[[#This Row],[name]]&amp;"""));","")</f>
        <v>def-&gt;enum_labels.push_back(L("Monotonic"));</v>
      </c>
      <c r="AW2" t="str">
        <f>Infill[[#This Row],[SVG Link]]</f>
        <v>&lt;img alt="param_monotonic" src="https://github.com/OrcaSlicer/OrcaSlicer/blob/main/resources/images/param_monotonic.svg?raw=true" height="45"&gt;</v>
      </c>
      <c r="AX2" s="1" t="str">
        <f>"["&amp;Infill[[#This Row],[name]]&amp;"](strength_settings_patterns#"&amp;Infill[[#This Row],[nameMD]]&amp;")"</f>
        <v>[Monotonic](strength_settings_patterns#monotonic)</v>
      </c>
      <c r="AY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2" s="1" t="str">
        <f>Infill[[#This Row],[Material Usage Icon]]</f>
        <v>![level-to-worse-4](https://github.com/OrcaSlicer/OrcaSlicer_WIKI/blob/main/images/misc/level-to-worse-4.svg?raw=true)</v>
      </c>
      <c r="BA2" s="1" t="str">
        <f>Infill[[#This Row],[Print Time Icon]]</f>
        <v>![level-to-worse-3](https://github.com/OrcaSlicer/OrcaSlicer_WIKI/blob/main/images/misc/level-to-worse-3.svg?raw=true)</v>
      </c>
      <c r="BB2" t="str">
        <f ca="1">Infill[[#This Row],[Layer time Variability Icon]]</f>
        <v>![level-to-worse-0](https://github.com/OrcaSlicer/OrcaSlicer_WIKI/blob/main/images/misc/level-to-worse-0.svg?raw=true)</v>
      </c>
      <c r="BC2" s="1" t="str">
        <f>Infill[[#This Row],[Multiline]]</f>
        <v>N/A</v>
      </c>
    </row>
    <row r="3" spans="1:55" ht="285" x14ac:dyDescent="0.25">
      <c r="A3" t="s">
        <v>30</v>
      </c>
      <c r="B3" t="s">
        <v>33</v>
      </c>
      <c r="E3">
        <v>1</v>
      </c>
      <c r="F3" t="b">
        <v>0</v>
      </c>
      <c r="G3" t="b">
        <v>1</v>
      </c>
      <c r="H3" t="b">
        <v>0</v>
      </c>
      <c r="I3" t="s">
        <v>143</v>
      </c>
      <c r="J3" t="s">
        <v>150</v>
      </c>
      <c r="K3" t="s">
        <v>99</v>
      </c>
      <c r="L3" t="s">
        <v>140</v>
      </c>
      <c r="M3" t="s">
        <v>215</v>
      </c>
      <c r="N3" t="s">
        <v>215</v>
      </c>
      <c r="O3" t="s">
        <v>215</v>
      </c>
      <c r="P3" s="8" t="s">
        <v>169</v>
      </c>
      <c r="Q3">
        <v>4</v>
      </c>
      <c r="R3" t="str">
        <f>_xlfn.XLOOKUP(Infill[[#This Row],[XY-N]],Rating[N],Rating[Name])</f>
        <v>Normal</v>
      </c>
      <c r="S3" t="str">
        <f>_xlfn.XLOOKUP(Infill[[#This Row],[XY-N]],Rating[N],Rating[level-to-better])</f>
        <v>![level-to-better-4](https://github.com/OrcaSlicer/OrcaSlicer_WIKI/blob/main/images/misc/level-to-better-4.svg?raw=true)</v>
      </c>
      <c r="T3">
        <v>4</v>
      </c>
      <c r="U3" t="str">
        <f>_xlfn.XLOOKUP(Infill[[#This Row],[Z-N]],Rating[N],Rating[Name])</f>
        <v>Normal</v>
      </c>
      <c r="V3" t="str">
        <f>_xlfn.XLOOKUP(Infill[[#This Row],[Z-N]],Rating[N],Rating[level-to-better])</f>
        <v>![level-to-better-4](https://github.com/OrcaSlicer/OrcaSlicer_WIKI/blob/main/images/misc/level-to-better-4.svg?raw=true)</v>
      </c>
      <c r="W3" s="11">
        <f ca="1">_xlfn.XLOOKUP(Infill[[#This Row],[infill]],Tabla7[infill],Tabla7[% 2 Sigma])</f>
        <v>2.6864815256315566E-3</v>
      </c>
      <c r="X3" t="str">
        <f ca="1">_xlfn.XLOOKUP(Infill[[#This Row],[% 2 Sigma]],AbsRating[Max %],AbsRating[Name],,1)</f>
        <v>None</v>
      </c>
      <c r="Y3" t="str">
        <f ca="1">_xlfn.XLOOKUP(Infill[[#This Row],[% 2 Sigma]],AbsRating[Max %],AbsRating[icon],,1)</f>
        <v>![level-to-worse-0](https://github.com/OrcaSlicer/OrcaSlicer_WIKI/blob/main/images/misc/level-to-worse-0.svg?raw=true)</v>
      </c>
      <c r="Z3" s="2" t="s">
        <v>72</v>
      </c>
      <c r="AA3">
        <f>_xlfn.XLOOKUP(Infill[[#This Row],[infill]],Tabla7[infill],Tabla7[g])</f>
        <v>150.21100000000001</v>
      </c>
      <c r="AB3" s="2">
        <f>Infill[[#This Row],[g]]/(997.25*0.15)</f>
        <v>1.0041681290214757</v>
      </c>
      <c r="AC3" s="2" t="str">
        <f>_xlfn.XLOOKUP(Infill[[#This Row],[% Effective]],Rating[Max %],Rating[Name],,1)</f>
        <v>Normal</v>
      </c>
      <c r="AD3" s="2" t="str">
        <f>_xlfn.XLOOKUP(Infill[[#This Row],[% Effective]],Rating[Max %],Rating[level-to-worse],,1)</f>
        <v>![level-to-worse-4](https://github.com/OrcaSlicer/OrcaSlicer_WIKI/blob/main/images/misc/level-to-worse-4.svg?raw=true)</v>
      </c>
      <c r="AE3">
        <f>_xlfn.XLOOKUP(Infill[[#This Row],[infill]],Tabla7[infill],Tabla7[Total Time])</f>
        <v>245.49700000000001</v>
      </c>
      <c r="AF3" s="2">
        <f>Infill[[#This Row],[Total Time]]/AVERAGEIFS(Infill[Total Time],Infill[Material Usage Icon],_xlfn.XLOOKUP("Normal",Rating[Name],Rating[level-to-worse]))</f>
        <v>0.81410180253698927</v>
      </c>
      <c r="AG3" s="2" t="str">
        <f>_xlfn.XLOOKUP(Infill[[#This Row],[t prom]],Rating[Max %],Rating[Name],,1)</f>
        <v>Normal-Low</v>
      </c>
      <c r="AH3" s="2" t="str">
        <f>_xlfn.XLOOKUP(Infill[[#This Row],[t prom]],Rating[Max %],Rating[level-to-worse],,1)</f>
        <v>![level-to-worse-3](https://github.com/OrcaSlicer/OrcaSlicer_WIKI/blob/main/images/misc/level-to-worse-3.svg?raw=true)</v>
      </c>
      <c r="AI3" s="3">
        <f>Infill[[#This Row],[g]]/Infill[[#This Row],[Total Time]]</f>
        <v>0.61186491077284044</v>
      </c>
      <c r="AJ3" s="2">
        <f>Infill[[#This Row],[g/t]]/AVERAGEIFS(Infill[g/t],Infill[Material Usage Icon],_xlfn.XLOOKUP("Normal",Rating[Name],Rating[level-to-worse]))</f>
        <v>1.1142566464523516</v>
      </c>
      <c r="AK3" s="2" t="str">
        <f>_xlfn.XLOOKUP(Infill[[#This Row],[g/t prom]],Rating[Max %],Rating[Name],,1)</f>
        <v>Normal-High</v>
      </c>
      <c r="AL3" s="2" t="str">
        <f>_xlfn.XLOOKUP(Infill[[#This Row],[g/t prom]],Rating[Max %],Rating[level-to-better],,1)</f>
        <v>![level-to-better-5](https://github.com/OrcaSlicer/OrcaSlicer_WIKI/blob/main/images/misc/level-to-better-5.svg?raw=true)</v>
      </c>
      <c r="AM3" s="2" t="str">
        <f>SUBSTITUTE(LOWER(Infill[[#This Row],[name]])," ","-")</f>
        <v>monotonic-line</v>
      </c>
      <c r="AN3" t="str">
        <f>"param_"&amp;Infill[[#This Row],[infill]]</f>
        <v>param_monotonicline</v>
      </c>
      <c r="AO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P3" s="2" t="str">
        <f>"["&amp;Infill[[#This Row],[name]]&amp;"](#"&amp;Infill[[#This Row],[nameMD]]&amp;")"</f>
        <v>[Monotonic line](#monotonic-line)</v>
      </c>
      <c r="AQ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![infill-top-monotonic-line](https://github.com/OrcaSlicer/OrcaSlicer_WIKI/blob/main/images/fill/infill-top-monotonic-line.png?raw=true)
</v>
      </c>
      <c r="AS3" t="str">
        <f>IF(OR(Infill[[#This Row],[Is Infill]],Infill[[#This Row],[Is Surface]])," { """&amp;Infill[[#This Row],[infill]]&amp;""", "&amp;Infill[[#This Row],[ip]]&amp;" },","")</f>
        <v xml:space="preserve"> { "monotonicline", ipMonotonicLine },</v>
      </c>
      <c r="AT3" t="str">
        <f>IF(OR(Infill[[#This Row],[Is Infill]],Infill[[#This Row],[Is Surface]]),"def-&gt;enum_values.push_back("""&amp;Infill[[#This Row],[infill]]&amp;""");","")</f>
        <v>def-&gt;enum_values.push_back("monotonicline");</v>
      </c>
      <c r="AU3" t="str">
        <f>IF(OR(Infill[[#This Row],[Is Infill]],Infill[[#This Row],[Is Surface]]),"def-&gt;enum_labels.push_back(L("""&amp;Infill[[#This Row],[name]]&amp;"""));","")</f>
        <v>def-&gt;enum_labels.push_back(L("Monotonic line"));</v>
      </c>
      <c r="AW3" t="str">
        <f>Infill[[#This Row],[SVG Link]]</f>
        <v>&lt;img alt="param_monotonicline" src="https://github.com/OrcaSlicer/OrcaSlicer/blob/main/resources/images/param_monotonicline.svg?raw=true" height="45"&gt;</v>
      </c>
      <c r="AX3" s="1" t="str">
        <f>"["&amp;Infill[[#This Row],[name]]&amp;"](strength_settings_patterns#"&amp;Infill[[#This Row],[nameMD]]&amp;")"</f>
        <v>[Monotonic line](strength_settings_patterns#monotonic-line)</v>
      </c>
      <c r="AY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3" s="1" t="str">
        <f>Infill[[#This Row],[Material Usage Icon]]</f>
        <v>![level-to-worse-4](https://github.com/OrcaSlicer/OrcaSlicer_WIKI/blob/main/images/misc/level-to-worse-4.svg?raw=true)</v>
      </c>
      <c r="BA3" s="1" t="str">
        <f>Infill[[#This Row],[Print Time Icon]]</f>
        <v>![level-to-worse-3](https://github.com/OrcaSlicer/OrcaSlicer_WIKI/blob/main/images/misc/level-to-worse-3.svg?raw=true)</v>
      </c>
      <c r="BB3" t="str">
        <f ca="1">Infill[[#This Row],[Layer time Variability Icon]]</f>
        <v>![level-to-worse-0](https://github.com/OrcaSlicer/OrcaSlicer_WIKI/blob/main/images/misc/level-to-worse-0.svg?raw=true)</v>
      </c>
      <c r="BC3" s="1" t="str">
        <f>Infill[[#This Row],[Multiline]]</f>
        <v>N/A</v>
      </c>
    </row>
    <row r="4" spans="1:55" ht="315" x14ac:dyDescent="0.25">
      <c r="A4" t="s">
        <v>31</v>
      </c>
      <c r="B4" s="2">
        <v>0.15</v>
      </c>
      <c r="E4">
        <v>2</v>
      </c>
      <c r="F4" t="b">
        <v>1</v>
      </c>
      <c r="G4" t="b">
        <v>1</v>
      </c>
      <c r="H4" t="b">
        <v>1</v>
      </c>
      <c r="I4" t="s">
        <v>1</v>
      </c>
      <c r="J4" t="s">
        <v>1</v>
      </c>
      <c r="K4" t="s">
        <v>88</v>
      </c>
      <c r="L4" t="s">
        <v>158</v>
      </c>
      <c r="M4" t="s">
        <v>217</v>
      </c>
      <c r="N4" t="s">
        <v>216</v>
      </c>
      <c r="O4" t="s">
        <v>216</v>
      </c>
      <c r="P4" s="6" t="s">
        <v>81</v>
      </c>
      <c r="Q4">
        <v>3</v>
      </c>
      <c r="R4" t="str">
        <f>_xlfn.XLOOKUP(Infill[[#This Row],[XY-N]],Rating[N],Rating[Name])</f>
        <v>Normal-Low</v>
      </c>
      <c r="S4" t="str">
        <f>_xlfn.XLOOKUP(Infill[[#This Row],[XY-N]],Rating[N],Rating[level-to-better])</f>
        <v>![level-to-better-3](https://github.com/OrcaSlicer/OrcaSlicer_WIKI/blob/main/images/misc/level-to-better-3.svg?raw=true)</v>
      </c>
      <c r="T4">
        <v>2</v>
      </c>
      <c r="U4" t="str">
        <f>_xlfn.XLOOKUP(Infill[[#This Row],[Z-N]],Rating[N],Rating[Name])</f>
        <v>Low</v>
      </c>
      <c r="V4" t="str">
        <f>_xlfn.XLOOKUP(Infill[[#This Row],[Z-N]],Rating[N],Rating[level-to-better])</f>
        <v>![level-to-better-2](https://github.com/OrcaSlicer/OrcaSlicer_WIKI/blob/main/images/misc/level-to-better-2.svg?raw=true)</v>
      </c>
      <c r="W4" s="11">
        <f ca="1">_xlfn.XLOOKUP(Infill[[#This Row],[infill]],Tabla7[infill],Tabla7[% 2 Sigma])</f>
        <v>1.4326697941560385E-2</v>
      </c>
      <c r="X4" t="str">
        <f ca="1">_xlfn.XLOOKUP(Infill[[#This Row],[% 2 Sigma]],AbsRating[Max %],AbsRating[Name],,1)</f>
        <v>Unnoticeable</v>
      </c>
      <c r="Y4" t="str">
        <f ca="1">_xlfn.XLOOKUP(Infill[[#This Row],[% 2 Sigma]],AbsRating[Max %],AbsRating[icon],,1)</f>
        <v>![level-to-worse-2](https://github.com/OrcaSlicer/OrcaSlicer_WIKI/blob/main/images/misc/level-to-worse-2.svg?raw=true)</v>
      </c>
      <c r="Z4" s="2" t="s">
        <v>72</v>
      </c>
      <c r="AA4">
        <f>_xlfn.XLOOKUP(Infill[[#This Row],[infill]],Tabla7[infill],Tabla7[g])</f>
        <v>150.09299999999999</v>
      </c>
      <c r="AB4" s="2">
        <f>Infill[[#This Row],[g]]/(997.25*0.15)</f>
        <v>1.0033792930559036</v>
      </c>
      <c r="AC4" s="2" t="str">
        <f>_xlfn.XLOOKUP(Infill[[#This Row],[% Effective]],Rating[Max %],Rating[Name],,1)</f>
        <v>Normal</v>
      </c>
      <c r="AD4" s="2" t="str">
        <f>_xlfn.XLOOKUP(Infill[[#This Row],[% Effective]],Rating[Max %],Rating[level-to-worse],,1)</f>
        <v>![level-to-worse-4](https://github.com/OrcaSlicer/OrcaSlicer_WIKI/blob/main/images/misc/level-to-worse-4.svg?raw=true)</v>
      </c>
      <c r="AE4">
        <f>_xlfn.XLOOKUP(Infill[[#This Row],[infill]],Tabla7[infill],Tabla7[Total Time])</f>
        <v>245.78899999999999</v>
      </c>
      <c r="AF4" s="2">
        <f>Infill[[#This Row],[Total Time]]/AVERAGEIFS(Infill[Total Time],Infill[Material Usage Icon],_xlfn.XLOOKUP("Normal",Rating[Name],Rating[level-to-worse]))</f>
        <v>0.81507011468068469</v>
      </c>
      <c r="AG4" s="2" t="str">
        <f>_xlfn.XLOOKUP(Infill[[#This Row],[t prom]],Rating[Max %],Rating[Name],,1)</f>
        <v>Normal-Low</v>
      </c>
      <c r="AH4" s="2" t="str">
        <f>_xlfn.XLOOKUP(Infill[[#This Row],[t prom]],Rating[Max %],Rating[level-to-worse],,1)</f>
        <v>![level-to-worse-3](https://github.com/OrcaSlicer/OrcaSlicer_WIKI/blob/main/images/misc/level-to-worse-3.svg?raw=true)</v>
      </c>
      <c r="AI4" s="3">
        <f>Infill[[#This Row],[g]]/Infill[[#This Row],[Total Time]]</f>
        <v>0.61065792203882185</v>
      </c>
      <c r="AJ4" s="2">
        <f>Infill[[#This Row],[g/t]]/AVERAGEIFS(Infill[g/t],Infill[Material Usage Icon],_xlfn.XLOOKUP("Normal",Rating[Name],Rating[level-to-worse]))</f>
        <v>1.1120586200654901</v>
      </c>
      <c r="AK4" s="2" t="str">
        <f>_xlfn.XLOOKUP(Infill[[#This Row],[g/t prom]],Rating[Max %],Rating[Name],,1)</f>
        <v>Normal-High</v>
      </c>
      <c r="AL4" s="1" t="str">
        <f>_xlfn.XLOOKUP(Infill[[#This Row],[g/t prom]],Rating[Max %],Rating[level-to-better],,1)</f>
        <v>![level-to-better-5](https://github.com/OrcaSlicer/OrcaSlicer_WIKI/blob/main/images/misc/level-to-better-5.svg?raw=true)</v>
      </c>
      <c r="AM4" s="2" t="str">
        <f>SUBSTITUTE(LOWER(Infill[[#This Row],[name]])," ","-")</f>
        <v>rectilinear</v>
      </c>
      <c r="AN4" t="str">
        <f>"param_"&amp;Infill[[#This Row],[infill]]</f>
        <v>param_rectilinear</v>
      </c>
      <c r="AO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P4" s="2" t="str">
        <f>"["&amp;Infill[[#This Row],[name]]&amp;"](#"&amp;Infill[[#This Row],[nameMD]]&amp;")"</f>
        <v>[Rectilinear](#rectilinear)</v>
      </c>
      <c r="AQ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S4" t="str">
        <f>IF(OR(Infill[[#This Row],[Is Infill]],Infill[[#This Row],[Is Surface]])," { """&amp;Infill[[#This Row],[infill]]&amp;""", "&amp;Infill[[#This Row],[ip]]&amp;" },","")</f>
        <v xml:space="preserve"> { "rectilinear", ipRectilinear },</v>
      </c>
      <c r="AT4" t="str">
        <f>IF(OR(Infill[[#This Row],[Is Infill]],Infill[[#This Row],[Is Surface]]),"def-&gt;enum_values.push_back("""&amp;Infill[[#This Row],[infill]]&amp;""");","")</f>
        <v>def-&gt;enum_values.push_back("rectilinear");</v>
      </c>
      <c r="AU4" t="str">
        <f>IF(OR(Infill[[#This Row],[Is Infill]],Infill[[#This Row],[Is Surface]]),"def-&gt;enum_labels.push_back(L("""&amp;Infill[[#This Row],[name]]&amp;"""));","")</f>
        <v>def-&gt;enum_labels.push_back(L("Rectilinear"));</v>
      </c>
      <c r="AW4" t="str">
        <f>Infill[[#This Row],[SVG Link]]</f>
        <v>&lt;img alt="param_rectilinear" src="https://github.com/OrcaSlicer/OrcaSlicer/blob/main/resources/images/param_rectilinear.svg?raw=true" height="45"&gt;</v>
      </c>
      <c r="AX4" s="1" t="str">
        <f>"["&amp;Infill[[#This Row],[name]]&amp;"](strength_settings_patterns#"&amp;Infill[[#This Row],[nameMD]]&amp;")"</f>
        <v>[Rectilinear](strength_settings_patterns#rectilinear)</v>
      </c>
      <c r="AY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4" s="1" t="str">
        <f>Infill[[#This Row],[Material Usage Icon]]</f>
        <v>![level-to-worse-4](https://github.com/OrcaSlicer/OrcaSlicer_WIKI/blob/main/images/misc/level-to-worse-4.svg?raw=true)</v>
      </c>
      <c r="BA4" s="1" t="str">
        <f>Infill[[#This Row],[Print Time Icon]]</f>
        <v>![level-to-worse-3](https://github.com/OrcaSlicer/OrcaSlicer_WIKI/blob/main/images/misc/level-to-worse-3.svg?raw=true)</v>
      </c>
      <c r="BB4" t="str">
        <f ca="1">Infill[[#This Row],[Layer time Variability Icon]]</f>
        <v>![level-to-worse-2](https://github.com/OrcaSlicer/OrcaSlicer_WIKI/blob/main/images/misc/level-to-worse-2.svg?raw=true)</v>
      </c>
      <c r="BC4" s="1" t="str">
        <f>Infill[[#This Row],[Multiline]]</f>
        <v>[Classic](strength_settings_infill#classic-strategy)</v>
      </c>
    </row>
    <row r="5" spans="1:55" ht="345" x14ac:dyDescent="0.25">
      <c r="A5" t="s">
        <v>47</v>
      </c>
      <c r="B5" t="s">
        <v>48</v>
      </c>
      <c r="E5">
        <v>3</v>
      </c>
      <c r="F5" t="b">
        <v>1</v>
      </c>
      <c r="G5" t="b">
        <v>1</v>
      </c>
      <c r="H5" t="b">
        <v>0</v>
      </c>
      <c r="I5" t="s">
        <v>11</v>
      </c>
      <c r="J5" t="s">
        <v>1</v>
      </c>
      <c r="K5" t="s">
        <v>100</v>
      </c>
      <c r="L5" t="s">
        <v>127</v>
      </c>
      <c r="M5" t="s">
        <v>217</v>
      </c>
      <c r="N5" t="s">
        <v>216</v>
      </c>
      <c r="O5" t="s">
        <v>216</v>
      </c>
      <c r="P5" s="6" t="s">
        <v>59</v>
      </c>
      <c r="Q5">
        <v>3</v>
      </c>
      <c r="R5" t="str">
        <f>_xlfn.XLOOKUP(Infill[[#This Row],[XY-N]],Rating[N],Rating[Name])</f>
        <v>Normal-Low</v>
      </c>
      <c r="S5" t="str">
        <f>_xlfn.XLOOKUP(Infill[[#This Row],[XY-N]],Rating[N],Rating[level-to-better])</f>
        <v>![level-to-better-3](https://github.com/OrcaSlicer/OrcaSlicer_WIKI/blob/main/images/misc/level-to-better-3.svg?raw=true)</v>
      </c>
      <c r="T5">
        <v>4</v>
      </c>
      <c r="U5" t="str">
        <f>_xlfn.XLOOKUP(Infill[[#This Row],[Z-N]],Rating[N],Rating[Name])</f>
        <v>Normal</v>
      </c>
      <c r="V5" t="str">
        <f>_xlfn.XLOOKUP(Infill[[#This Row],[Z-N]],Rating[N],Rating[level-to-better])</f>
        <v>![level-to-better-4](https://github.com/OrcaSlicer/OrcaSlicer_WIKI/blob/main/images/misc/level-to-better-4.svg?raw=true)</v>
      </c>
      <c r="W5" s="11">
        <f ca="1">_xlfn.XLOOKUP(Infill[[#This Row],[infill]],Tabla7[infill],Tabla7[% 2 Sigma])</f>
        <v>1.0847178053471573E-2</v>
      </c>
      <c r="X5" t="str">
        <f ca="1">_xlfn.XLOOKUP(Infill[[#This Row],[% 2 Sigma]],AbsRating[Max %],AbsRating[Name],,1)</f>
        <v>Unnoticeable</v>
      </c>
      <c r="Y5" t="str">
        <f ca="1">_xlfn.XLOOKUP(Infill[[#This Row],[% 2 Sigma]],AbsRating[Max %],AbsRating[icon],,1)</f>
        <v>![level-to-worse-2](https://github.com/OrcaSlicer/OrcaSlicer_WIKI/blob/main/images/misc/level-to-worse-2.svg?raw=true)</v>
      </c>
      <c r="Z5" s="2" t="s">
        <v>72</v>
      </c>
      <c r="AA5">
        <f>_xlfn.XLOOKUP(Infill[[#This Row],[infill]],Tabla7[infill],Tabla7[g])</f>
        <v>150.09299999999999</v>
      </c>
      <c r="AB5" s="2">
        <f>Infill[[#This Row],[g]]/(997.25*0.15)</f>
        <v>1.0033792930559036</v>
      </c>
      <c r="AC5" s="2" t="str">
        <f>_xlfn.XLOOKUP(Infill[[#This Row],[% Effective]],Rating[Max %],Rating[Name],,1)</f>
        <v>Normal</v>
      </c>
      <c r="AD5" s="2" t="str">
        <f>_xlfn.XLOOKUP(Infill[[#This Row],[% Effective]],Rating[Max %],Rating[level-to-worse],,1)</f>
        <v>![level-to-worse-4](https://github.com/OrcaSlicer/OrcaSlicer_WIKI/blob/main/images/misc/level-to-worse-4.svg?raw=true)</v>
      </c>
      <c r="AE5">
        <f>_xlfn.XLOOKUP(Infill[[#This Row],[infill]],Tabla7[infill],Tabla7[Total Time])</f>
        <v>247.04499999999999</v>
      </c>
      <c r="AF5" s="2">
        <f>Infill[[#This Row],[Total Time]]/AVERAGEIFS(Infill[Total Time],Infill[Material Usage Icon],_xlfn.XLOOKUP("Normal",Rating[Name],Rating[level-to-worse]))</f>
        <v>0.81923518335356649</v>
      </c>
      <c r="AG5" s="2" t="str">
        <f>_xlfn.XLOOKUP(Infill[[#This Row],[t prom]],Rating[Max %],Rating[Name],,1)</f>
        <v>Normal-Low</v>
      </c>
      <c r="AH5" s="2" t="str">
        <f>_xlfn.XLOOKUP(Infill[[#This Row],[t prom]],Rating[Max %],Rating[level-to-worse],,1)</f>
        <v>![level-to-worse-3](https://github.com/OrcaSlicer/OrcaSlicer_WIKI/blob/main/images/misc/level-to-worse-3.svg?raw=true)</v>
      </c>
      <c r="AI5" s="3">
        <f>Infill[[#This Row],[g]]/Infill[[#This Row],[Total Time]]</f>
        <v>0.60755327976684403</v>
      </c>
      <c r="AJ5" s="2">
        <f>Infill[[#This Row],[g/t]]/AVERAGEIFS(Infill[g/t],Infill[Material Usage Icon],_xlfn.XLOOKUP("Normal",Rating[Name],Rating[level-to-worse]))</f>
        <v>1.1064048095176051</v>
      </c>
      <c r="AK5" s="2" t="str">
        <f>_xlfn.XLOOKUP(Infill[[#This Row],[g/t prom]],Rating[Max %],Rating[Name],,1)</f>
        <v>Normal-High</v>
      </c>
      <c r="AL5" s="1" t="str">
        <f>_xlfn.XLOOKUP(Infill[[#This Row],[g/t prom]],Rating[Max %],Rating[level-to-better],,1)</f>
        <v>![level-to-better-5](https://github.com/OrcaSlicer/OrcaSlicer_WIKI/blob/main/images/misc/level-to-better-5.svg?raw=true)</v>
      </c>
      <c r="AM5" s="2" t="str">
        <f>SUBSTITUTE(LOWER(Infill[[#This Row],[name]])," ","-")</f>
        <v>aligned-rectilinear</v>
      </c>
      <c r="AN5" t="str">
        <f>"param_"&amp;Infill[[#This Row],[infill]]</f>
        <v>param_alignedrectilinear</v>
      </c>
      <c r="AO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P5" s="2" t="str">
        <f>"["&amp;Infill[[#This Row],[name]]&amp;"](#"&amp;Infill[[#This Row],[nameMD]]&amp;")"</f>
        <v>[Aligned Rectilinear](#aligned-rectilinear)</v>
      </c>
      <c r="AQ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S5" t="str">
        <f>IF(OR(Infill[[#This Row],[Is Infill]],Infill[[#This Row],[Is Surface]])," { """&amp;Infill[[#This Row],[infill]]&amp;""", "&amp;Infill[[#This Row],[ip]]&amp;" },","")</f>
        <v xml:space="preserve"> { "alignedrectilinear", ipAlignedRectilinear },</v>
      </c>
      <c r="AT5" t="str">
        <f>IF(OR(Infill[[#This Row],[Is Infill]],Infill[[#This Row],[Is Surface]]),"def-&gt;enum_values.push_back("""&amp;Infill[[#This Row],[infill]]&amp;""");","")</f>
        <v>def-&gt;enum_values.push_back("alignedrectilinear");</v>
      </c>
      <c r="AU5" t="str">
        <f>IF(OR(Infill[[#This Row],[Is Infill]],Infill[[#This Row],[Is Surface]]),"def-&gt;enum_labels.push_back(L("""&amp;Infill[[#This Row],[name]]&amp;"""));","")</f>
        <v>def-&gt;enum_labels.push_back(L("Aligned Rectilinear"));</v>
      </c>
      <c r="AW5" t="str">
        <f>Infill[[#This Row],[SVG Link]]</f>
        <v>&lt;img alt="param_alignedrectilinear" src="https://github.com/OrcaSlicer/OrcaSlicer/blob/main/resources/images/param_alignedrectilinear.svg?raw=true" height="45"&gt;</v>
      </c>
      <c r="AX5" s="1" t="str">
        <f>"["&amp;Infill[[#This Row],[name]]&amp;"](strength_settings_patterns#"&amp;Infill[[#This Row],[nameMD]]&amp;")"</f>
        <v>[Aligned Rectilinear](strength_settings_patterns#aligned-rectilinear)</v>
      </c>
      <c r="AY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Z5" s="1" t="str">
        <f>Infill[[#This Row],[Material Usage Icon]]</f>
        <v>![level-to-worse-4](https://github.com/OrcaSlicer/OrcaSlicer_WIKI/blob/main/images/misc/level-to-worse-4.svg?raw=true)</v>
      </c>
      <c r="BA5" s="1" t="str">
        <f>Infill[[#This Row],[Print Time Icon]]</f>
        <v>![level-to-worse-3](https://github.com/OrcaSlicer/OrcaSlicer_WIKI/blob/main/images/misc/level-to-worse-3.svg?raw=true)</v>
      </c>
      <c r="BB5" t="str">
        <f ca="1">Infill[[#This Row],[Layer time Variability Icon]]</f>
        <v>![level-to-worse-2](https://github.com/OrcaSlicer/OrcaSlicer_WIKI/blob/main/images/misc/level-to-worse-2.svg?raw=true)</v>
      </c>
      <c r="BC5" s="1" t="str">
        <f>Infill[[#This Row],[Multiline]]</f>
        <v>[Classic](strength_settings_infill#classic-strategy)</v>
      </c>
    </row>
    <row r="6" spans="1:55" ht="300" x14ac:dyDescent="0.25">
      <c r="A6" t="s">
        <v>32</v>
      </c>
      <c r="B6" t="s">
        <v>34</v>
      </c>
      <c r="E6">
        <v>4</v>
      </c>
      <c r="F6" t="b">
        <v>1</v>
      </c>
      <c r="G6" t="b">
        <v>0</v>
      </c>
      <c r="H6" t="b">
        <v>0</v>
      </c>
      <c r="I6" t="s">
        <v>76</v>
      </c>
      <c r="J6" t="s">
        <v>1</v>
      </c>
      <c r="K6" t="s">
        <v>111</v>
      </c>
      <c r="L6" t="s">
        <v>136</v>
      </c>
      <c r="M6" t="s">
        <v>216</v>
      </c>
      <c r="N6" t="s">
        <v>243</v>
      </c>
      <c r="O6" t="s">
        <v>216</v>
      </c>
      <c r="P6" s="8" t="s">
        <v>241</v>
      </c>
      <c r="Q6">
        <v>3</v>
      </c>
      <c r="R6" t="str">
        <f>_xlfn.XLOOKUP(Infill[[#This Row],[XY-N]],Rating[N],Rating[Name])</f>
        <v>Normal-Low</v>
      </c>
      <c r="S6" t="str">
        <f>_xlfn.XLOOKUP(Infill[[#This Row],[XY-N]],Rating[N],Rating[level-to-better])</f>
        <v>![level-to-better-3](https://github.com/OrcaSlicer/OrcaSlicer_WIKI/blob/main/images/misc/level-to-better-3.svg?raw=true)</v>
      </c>
      <c r="T6">
        <v>2</v>
      </c>
      <c r="U6" t="str">
        <f>_xlfn.XLOOKUP(Infill[[#This Row],[Z-N]],Rating[N],Rating[Name])</f>
        <v>Low</v>
      </c>
      <c r="V6" t="str">
        <f>_xlfn.XLOOKUP(Infill[[#This Row],[Z-N]],Rating[N],Rating[level-to-better])</f>
        <v>![level-to-better-2](https://github.com/OrcaSlicer/OrcaSlicer_WIKI/blob/main/images/misc/level-to-better-2.svg?raw=true)</v>
      </c>
      <c r="W6" s="11">
        <f ca="1">_xlfn.XLOOKUP(Infill[[#This Row],[infill]],Tabla7[infill],Tabla7[% 2 Sigma])</f>
        <v>1.5069904867348161E-2</v>
      </c>
      <c r="X6" t="str">
        <f ca="1">_xlfn.XLOOKUP(Infill[[#This Row],[% 2 Sigma]],AbsRating[Max %],AbsRating[Name],,1)</f>
        <v>Unnoticeable</v>
      </c>
      <c r="Y6" t="str">
        <f ca="1">_xlfn.XLOOKUP(Infill[[#This Row],[% 2 Sigma]],AbsRating[Max %],AbsRating[icon],,1)</f>
        <v>![level-to-worse-2](https://github.com/OrcaSlicer/OrcaSlicer_WIKI/blob/main/images/misc/level-to-worse-2.svg?raw=true)</v>
      </c>
      <c r="Z6" s="2" t="s">
        <v>72</v>
      </c>
      <c r="AA6">
        <f>_xlfn.XLOOKUP(Infill[[#This Row],[infill]],Tabla7[infill],Tabla7[g])</f>
        <v>150.09299999999999</v>
      </c>
      <c r="AB6" s="2">
        <f>Infill[[#This Row],[g]]/(997.25*0.15)</f>
        <v>1.0033792930559036</v>
      </c>
      <c r="AC6" s="2" t="str">
        <f>_xlfn.XLOOKUP(Infill[[#This Row],[% Effective]],Rating[Max %],Rating[Name],,1)</f>
        <v>Normal</v>
      </c>
      <c r="AD6" s="2" t="str">
        <f>_xlfn.XLOOKUP(Infill[[#This Row],[% Effective]],Rating[Max %],Rating[level-to-worse],,1)</f>
        <v>![level-to-worse-4](https://github.com/OrcaSlicer/OrcaSlicer_WIKI/blob/main/images/misc/level-to-worse-4.svg?raw=true)</v>
      </c>
      <c r="AE6">
        <f>_xlfn.XLOOKUP(Infill[[#This Row],[infill]],Tabla7[infill],Tabla7[Total Time])</f>
        <v>245.685</v>
      </c>
      <c r="AF6" s="2">
        <f>Infill[[#This Row],[Total Time]]/AVERAGEIFS(Infill[Total Time],Infill[Material Usage Icon],_xlfn.XLOOKUP("Normal",Rating[Name],Rating[level-to-worse]))</f>
        <v>0.81472523638293015</v>
      </c>
      <c r="AG6" s="2" t="str">
        <f>_xlfn.XLOOKUP(Infill[[#This Row],[t prom]],Rating[Max %],Rating[Name],,1)</f>
        <v>Normal-Low</v>
      </c>
      <c r="AH6" s="2" t="str">
        <f>_xlfn.XLOOKUP(Infill[[#This Row],[t prom]],Rating[Max %],Rating[level-to-worse],,1)</f>
        <v>![level-to-worse-3](https://github.com/OrcaSlicer/OrcaSlicer_WIKI/blob/main/images/misc/level-to-worse-3.svg?raw=true)</v>
      </c>
      <c r="AI6" s="3">
        <f>Infill[[#This Row],[g]]/Infill[[#This Row],[Total Time]]</f>
        <v>0.61091641736369739</v>
      </c>
      <c r="AJ6" s="2">
        <f>Infill[[#This Row],[g/t]]/AVERAGEIFS(Infill[g/t],Infill[Material Usage Icon],_xlfn.XLOOKUP("Normal",Rating[Name],Rating[level-to-worse]))</f>
        <v>1.1125293614476943</v>
      </c>
      <c r="AK6" s="2" t="str">
        <f>_xlfn.XLOOKUP(Infill[[#This Row],[g/t prom]],Rating[Max %],Rating[Name],,1)</f>
        <v>Normal-High</v>
      </c>
      <c r="AL6" s="1" t="str">
        <f>_xlfn.XLOOKUP(Infill[[#This Row],[g/t prom]],Rating[Max %],Rating[level-to-better],,1)</f>
        <v>![level-to-better-5](https://github.com/OrcaSlicer/OrcaSlicer_WIKI/blob/main/images/misc/level-to-better-5.svg?raw=true)</v>
      </c>
      <c r="AM6" s="2" t="str">
        <f>SUBSTITUTE(LOWER(Infill[[#This Row],[name]])," ","-")</f>
        <v>zig-zag</v>
      </c>
      <c r="AN6" t="str">
        <f>"param_"&amp;Infill[[#This Row],[infill]]</f>
        <v>param_zigzag</v>
      </c>
      <c r="AO6" t="str">
        <f>"&lt;img alt=""" &amp; Infill[[#This Row],[SVG]] &amp; """ src=""https://github.com/OrcaSlicer/OrcaSlicer/blob/main/resources/images/" &amp; Infill[[#This Row],[SVG]] &amp; ".svg?raw=true"" height=""45""&gt;"</f>
        <v>&lt;img alt="param_zigzag" src="https://github.com/OrcaSlicer/OrcaSlicer/blob/main/resources/images/param_zigzag.svg?raw=true" height="45"&gt;</v>
      </c>
      <c r="AP6" s="2" t="str">
        <f>"["&amp;Infill[[#This Row],[name]]&amp;"](#"&amp;Infill[[#This Row],[nameMD]]&amp;")"</f>
        <v>[Zig Zag](#zig-zag)</v>
      </c>
      <c r="AQ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![infill-top-zig-zag](https://github.com/OrcaSlicer/OrcaSlicer_WIKI/blob/main/images/fill/infill-top-zig-zag.png?raw=true)
</v>
      </c>
      <c r="AS6" t="str">
        <f>IF(OR(Infill[[#This Row],[Is Infill]],Infill[[#This Row],[Is Surface]])," { """&amp;Infill[[#This Row],[infill]]&amp;""", "&amp;Infill[[#This Row],[ip]]&amp;" },","")</f>
        <v xml:space="preserve"> { "zigzag", ipZigZag },</v>
      </c>
      <c r="AT6" t="str">
        <f>IF(OR(Infill[[#This Row],[Is Infill]],Infill[[#This Row],[Is Surface]]),"def-&gt;enum_values.push_back("""&amp;Infill[[#This Row],[infill]]&amp;""");","")</f>
        <v>def-&gt;enum_values.push_back("zigzag");</v>
      </c>
      <c r="AU6" t="str">
        <f>IF(OR(Infill[[#This Row],[Is Infill]],Infill[[#This Row],[Is Surface]]),"def-&gt;enum_labels.push_back(L("""&amp;Infill[[#This Row],[name]]&amp;"""));","")</f>
        <v>def-&gt;enum_labels.push_back(L("Zig Zag"));</v>
      </c>
      <c r="AW6" t="str">
        <f>Infill[[#This Row],[SVG Link]]</f>
        <v>&lt;img alt="param_zigzag" src="https://github.com/OrcaSlicer/OrcaSlicer/blob/main/resources/images/param_zigzag.svg?raw=true" height="45"&gt;</v>
      </c>
      <c r="AX6" s="1" t="str">
        <f>"["&amp;Infill[[#This Row],[name]]&amp;"](strength_settings_patterns#"&amp;Infill[[#This Row],[nameMD]]&amp;")"</f>
        <v>[Zig Zag](strength_settings_patterns#zig-zag)</v>
      </c>
      <c r="AY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6" s="1" t="str">
        <f>Infill[[#This Row],[Material Usage Icon]]</f>
        <v>![level-to-worse-4](https://github.com/OrcaSlicer/OrcaSlicer_WIKI/blob/main/images/misc/level-to-worse-4.svg?raw=true)</v>
      </c>
      <c r="BA6" s="1" t="str">
        <f>Infill[[#This Row],[Print Time Icon]]</f>
        <v>![level-to-worse-3](https://github.com/OrcaSlicer/OrcaSlicer_WIKI/blob/main/images/misc/level-to-worse-3.svg?raw=true)</v>
      </c>
      <c r="BB6" t="str">
        <f ca="1">Infill[[#This Row],[Layer time Variability Icon]]</f>
        <v>![level-to-worse-2](https://github.com/OrcaSlicer/OrcaSlicer_WIKI/blob/main/images/misc/level-to-worse-2.svg?raw=true)</v>
      </c>
      <c r="BC6" s="1" t="str">
        <f>Infill[[#This Row],[Multiline]]</f>
        <v>No</v>
      </c>
    </row>
    <row r="7" spans="1:55" ht="300" x14ac:dyDescent="0.25">
      <c r="A7" t="s">
        <v>49</v>
      </c>
      <c r="B7" t="s">
        <v>34</v>
      </c>
      <c r="E7">
        <v>5</v>
      </c>
      <c r="F7" t="b">
        <v>1</v>
      </c>
      <c r="G7" t="b">
        <v>0</v>
      </c>
      <c r="H7" t="b">
        <v>0</v>
      </c>
      <c r="I7" t="s">
        <v>80</v>
      </c>
      <c r="J7" t="s">
        <v>1</v>
      </c>
      <c r="K7" t="s">
        <v>112</v>
      </c>
      <c r="L7" t="s">
        <v>137</v>
      </c>
      <c r="M7" t="s">
        <v>216</v>
      </c>
      <c r="N7" t="s">
        <v>243</v>
      </c>
      <c r="O7" t="s">
        <v>216</v>
      </c>
      <c r="P7" s="8" t="s">
        <v>85</v>
      </c>
      <c r="Q7">
        <v>4</v>
      </c>
      <c r="R7" t="str">
        <f>_xlfn.XLOOKUP(Infill[[#This Row],[XY-N]],Rating[N],Rating[Name])</f>
        <v>Normal</v>
      </c>
      <c r="S7" t="str">
        <f>_xlfn.XLOOKUP(Infill[[#This Row],[XY-N]],Rating[N],Rating[level-to-better])</f>
        <v>![level-to-better-4](https://github.com/OrcaSlicer/OrcaSlicer_WIKI/blob/main/images/misc/level-to-better-4.svg?raw=true)</v>
      </c>
      <c r="T7">
        <v>2</v>
      </c>
      <c r="U7" t="str">
        <f>_xlfn.XLOOKUP(Infill[[#This Row],[Z-N]],Rating[N],Rating[Name])</f>
        <v>Low</v>
      </c>
      <c r="V7" t="str">
        <f>_xlfn.XLOOKUP(Infill[[#This Row],[Z-N]],Rating[N],Rating[level-to-better])</f>
        <v>![level-to-better-2](https://github.com/OrcaSlicer/OrcaSlicer_WIKI/blob/main/images/misc/level-to-better-2.svg?raw=true)</v>
      </c>
      <c r="W7" s="11">
        <f ca="1">_xlfn.XLOOKUP(Infill[[#This Row],[infill]],Tabla7[infill],Tabla7[% 2 Sigma])</f>
        <v>1.2858296519586032E-2</v>
      </c>
      <c r="X7" t="str">
        <f ca="1">_xlfn.XLOOKUP(Infill[[#This Row],[% 2 Sigma]],AbsRating[Max %],AbsRating[Name],,1)</f>
        <v>Unnoticeable</v>
      </c>
      <c r="Y7" t="str">
        <f ca="1">_xlfn.XLOOKUP(Infill[[#This Row],[% 2 Sigma]],AbsRating[Max %],AbsRating[icon],,1)</f>
        <v>![level-to-worse-2](https://github.com/OrcaSlicer/OrcaSlicer_WIKI/blob/main/images/misc/level-to-worse-2.svg?raw=true)</v>
      </c>
      <c r="Z7" s="2" t="s">
        <v>72</v>
      </c>
      <c r="AA7">
        <f>_xlfn.XLOOKUP(Infill[[#This Row],[infill]],Tabla7[infill],Tabla7[g])</f>
        <v>150.10300000000001</v>
      </c>
      <c r="AB7" s="2">
        <f>Infill[[#This Row],[g]]/(997.25*0.15)</f>
        <v>1.0034461435614608</v>
      </c>
      <c r="AC7" s="2" t="str">
        <f>_xlfn.XLOOKUP(Infill[[#This Row],[% Effective]],Rating[Max %],Rating[Name],,1)</f>
        <v>Normal</v>
      </c>
      <c r="AD7" s="2" t="str">
        <f>_xlfn.XLOOKUP(Infill[[#This Row],[% Effective]],Rating[Max %],Rating[level-to-worse],,1)</f>
        <v>![level-to-worse-4](https://github.com/OrcaSlicer/OrcaSlicer_WIKI/blob/main/images/misc/level-to-worse-4.svg?raw=true)</v>
      </c>
      <c r="AE7">
        <f>_xlfn.XLOOKUP(Infill[[#This Row],[infill]],Tabla7[infill],Tabla7[Total Time])</f>
        <v>246.67699999999999</v>
      </c>
      <c r="AF7" s="2">
        <f>Infill[[#This Row],[Total Time]]/AVERAGEIFS(Infill[Total Time],Infill[Material Usage Icon],_xlfn.XLOOKUP("Normal",Rating[Name],Rating[level-to-worse]))</f>
        <v>0.81801484476151198</v>
      </c>
      <c r="AG7" s="2" t="str">
        <f>_xlfn.XLOOKUP(Infill[[#This Row],[t prom]],Rating[Max %],Rating[Name],,1)</f>
        <v>Normal-Low</v>
      </c>
      <c r="AH7" s="2" t="str">
        <f>_xlfn.XLOOKUP(Infill[[#This Row],[t prom]],Rating[Max %],Rating[level-to-worse],,1)</f>
        <v>![level-to-worse-3](https://github.com/OrcaSlicer/OrcaSlicer_WIKI/blob/main/images/misc/level-to-worse-3.svg?raw=true)</v>
      </c>
      <c r="AI7" s="3">
        <f>Infill[[#This Row],[g]]/Infill[[#This Row],[Total Time]]</f>
        <v>0.60850018445173248</v>
      </c>
      <c r="AJ7" s="2">
        <f>Infill[[#This Row],[g/t]]/AVERAGEIFS(Infill[g/t],Infill[Material Usage Icon],_xlfn.XLOOKUP("Normal",Rating[Name],Rating[level-to-worse]))</f>
        <v>1.1081292013238964</v>
      </c>
      <c r="AK7" s="2" t="str">
        <f>_xlfn.XLOOKUP(Infill[[#This Row],[g/t prom]],Rating[Max %],Rating[Name],,1)</f>
        <v>Normal-High</v>
      </c>
      <c r="AL7" s="1" t="str">
        <f>_xlfn.XLOOKUP(Infill[[#This Row],[g/t prom]],Rating[Max %],Rating[level-to-better],,1)</f>
        <v>![level-to-better-5](https://github.com/OrcaSlicer/OrcaSlicer_WIKI/blob/main/images/misc/level-to-better-5.svg?raw=true)</v>
      </c>
      <c r="AM7" s="2" t="str">
        <f>SUBSTITUTE(LOWER(Infill[[#This Row],[name]])," ","-")</f>
        <v>cross-zag</v>
      </c>
      <c r="AN7" t="str">
        <f>"param_"&amp;Infill[[#This Row],[infill]]</f>
        <v>param_crosszag</v>
      </c>
      <c r="AO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P7" s="2" t="str">
        <f>"["&amp;Infill[[#This Row],[name]]&amp;"](#"&amp;Infill[[#This Row],[nameMD]]&amp;")"</f>
        <v>[Cross Zag](#cross-zag)</v>
      </c>
      <c r="AQ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![infill-top-cross-zag](https://github.com/OrcaSlicer/OrcaSlicer_WIKI/blob/main/images/fill/infill-top-cross-zag.png?raw=true)
</v>
      </c>
      <c r="AS7" t="str">
        <f>IF(OR(Infill[[#This Row],[Is Infill]],Infill[[#This Row],[Is Surface]])," { """&amp;Infill[[#This Row],[infill]]&amp;""", "&amp;Infill[[#This Row],[ip]]&amp;" },","")</f>
        <v xml:space="preserve"> { "crosszag", ipCrossZag },</v>
      </c>
      <c r="AT7" t="str">
        <f>IF(OR(Infill[[#This Row],[Is Infill]],Infill[[#This Row],[Is Surface]]),"def-&gt;enum_values.push_back("""&amp;Infill[[#This Row],[infill]]&amp;""");","")</f>
        <v>def-&gt;enum_values.push_back("crosszag");</v>
      </c>
      <c r="AU7" t="str">
        <f>IF(OR(Infill[[#This Row],[Is Infill]],Infill[[#This Row],[Is Surface]]),"def-&gt;enum_labels.push_back(L("""&amp;Infill[[#This Row],[name]]&amp;"""));","")</f>
        <v>def-&gt;enum_labels.push_back(L("Cross Zag"));</v>
      </c>
      <c r="AW7" t="str">
        <f>Infill[[#This Row],[SVG Link]]</f>
        <v>&lt;img alt="param_crosszag" src="https://github.com/OrcaSlicer/OrcaSlicer/blob/main/resources/images/param_crosszag.svg?raw=true" height="45"&gt;</v>
      </c>
      <c r="AX7" s="1" t="str">
        <f>"["&amp;Infill[[#This Row],[name]]&amp;"](strength_settings_patterns#"&amp;Infill[[#This Row],[nameMD]]&amp;")"</f>
        <v>[Cross Zag](strength_settings_patterns#cross-zag)</v>
      </c>
      <c r="AY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Z7" s="1" t="str">
        <f>Infill[[#This Row],[Material Usage Icon]]</f>
        <v>![level-to-worse-4](https://github.com/OrcaSlicer/OrcaSlicer_WIKI/blob/main/images/misc/level-to-worse-4.svg?raw=true)</v>
      </c>
      <c r="BA7" s="1" t="str">
        <f>Infill[[#This Row],[Print Time Icon]]</f>
        <v>![level-to-worse-3](https://github.com/OrcaSlicer/OrcaSlicer_WIKI/blob/main/images/misc/level-to-worse-3.svg?raw=true)</v>
      </c>
      <c r="BB7" t="str">
        <f ca="1">Infill[[#This Row],[Layer time Variability Icon]]</f>
        <v>![level-to-worse-2](https://github.com/OrcaSlicer/OrcaSlicer_WIKI/blob/main/images/misc/level-to-worse-2.svg?raw=true)</v>
      </c>
      <c r="BC7" s="1" t="str">
        <f>Infill[[#This Row],[Multiline]]</f>
        <v>No</v>
      </c>
    </row>
    <row r="8" spans="1:55" ht="330" x14ac:dyDescent="0.25">
      <c r="A8" t="s">
        <v>189</v>
      </c>
      <c r="B8" s="4">
        <v>1</v>
      </c>
      <c r="E8">
        <v>6</v>
      </c>
      <c r="F8" t="b">
        <v>1</v>
      </c>
      <c r="G8" t="b">
        <v>0</v>
      </c>
      <c r="H8" t="b">
        <v>0</v>
      </c>
      <c r="I8" t="s">
        <v>77</v>
      </c>
      <c r="J8" t="s">
        <v>1</v>
      </c>
      <c r="K8" t="s">
        <v>113</v>
      </c>
      <c r="L8" t="s">
        <v>138</v>
      </c>
      <c r="M8" t="s">
        <v>216</v>
      </c>
      <c r="N8" t="s">
        <v>243</v>
      </c>
      <c r="O8" t="s">
        <v>216</v>
      </c>
      <c r="P8" s="8" t="s">
        <v>212</v>
      </c>
      <c r="Q8">
        <v>3</v>
      </c>
      <c r="R8" t="str">
        <f>_xlfn.XLOOKUP(Infill[[#This Row],[XY-N]],Rating[N],Rating[Name])</f>
        <v>Normal-Low</v>
      </c>
      <c r="S8" t="str">
        <f>_xlfn.XLOOKUP(Infill[[#This Row],[XY-N]],Rating[N],Rating[level-to-better])</f>
        <v>![level-to-better-3](https://github.com/OrcaSlicer/OrcaSlicer_WIKI/blob/main/images/misc/level-to-better-3.svg?raw=true)</v>
      </c>
      <c r="T8">
        <v>3</v>
      </c>
      <c r="U8" t="str">
        <f>_xlfn.XLOOKUP(Infill[[#This Row],[Z-N]],Rating[N],Rating[Name])</f>
        <v>Normal-Low</v>
      </c>
      <c r="V8" t="str">
        <f>_xlfn.XLOOKUP(Infill[[#This Row],[Z-N]],Rating[N],Rating[level-to-better])</f>
        <v>![level-to-better-3](https://github.com/OrcaSlicer/OrcaSlicer_WIKI/blob/main/images/misc/level-to-better-3.svg?raw=true)</v>
      </c>
      <c r="W8" s="11">
        <f ca="1">_xlfn.XLOOKUP(Infill[[#This Row],[infill]],Tabla7[infill],Tabla7[% 2 Sigma])</f>
        <v>9.0164137803094846E-3</v>
      </c>
      <c r="X8" t="str">
        <f ca="1">_xlfn.XLOOKUP(Infill[[#This Row],[% 2 Sigma]],AbsRating[Max %],AbsRating[Name],,1)</f>
        <v>None</v>
      </c>
      <c r="Y8" t="str">
        <f ca="1">_xlfn.XLOOKUP(Infill[[#This Row],[% 2 Sigma]],AbsRating[Max %],AbsRating[icon],,1)</f>
        <v>![level-to-worse-0](https://github.com/OrcaSlicer/OrcaSlicer_WIKI/blob/main/images/misc/level-to-worse-0.svg?raw=true)</v>
      </c>
      <c r="Z8" s="8" t="s">
        <v>213</v>
      </c>
      <c r="AA8">
        <f>_xlfn.XLOOKUP(Infill[[#This Row],[infill]],Tabla7[infill],Tabla7[g])</f>
        <v>180.82</v>
      </c>
      <c r="AB8" s="2">
        <f>Infill[[#This Row],[g]]/(997.25*0.15)</f>
        <v>1.2087908414807387</v>
      </c>
      <c r="AC8" s="2" t="str">
        <f>_xlfn.XLOOKUP(Infill[[#This Row],[% Effective]],Rating[Max %],Rating[Name],,1)</f>
        <v>Normal-High</v>
      </c>
      <c r="AD8" s="2" t="str">
        <f>_xlfn.XLOOKUP(Infill[[#This Row],[% Effective]],Rating[Max %],Rating[level-to-worse],,1)</f>
        <v>![level-to-worse-5](https://github.com/OrcaSlicer/OrcaSlicer_WIKI/blob/main/images/misc/level-to-worse-5.svg?raw=true)</v>
      </c>
      <c r="AE8">
        <f>_xlfn.XLOOKUP(Infill[[#This Row],[infill]],Tabla7[infill],Tabla7[Total Time])</f>
        <v>344.53199999999998</v>
      </c>
      <c r="AF8" s="2">
        <f>Infill[[#This Row],[Total Time]]/AVERAGEIFS(Infill[Total Time],Infill[Material Usage Icon],_xlfn.XLOOKUP("Normal",Rating[Name],Rating[level-to-worse]))</f>
        <v>1.1425154777112305</v>
      </c>
      <c r="AG8" s="2" t="str">
        <f>_xlfn.XLOOKUP(Infill[[#This Row],[t prom]],Rating[Max %],Rating[Name],,1)</f>
        <v>Normal-High</v>
      </c>
      <c r="AH8" s="2" t="str">
        <f>_xlfn.XLOOKUP(Infill[[#This Row],[t prom]],Rating[Max %],Rating[level-to-worse],,1)</f>
        <v>![level-to-worse-5](https://github.com/OrcaSlicer/OrcaSlicer_WIKI/blob/main/images/misc/level-to-worse-5.svg?raw=true)</v>
      </c>
      <c r="AI8" s="3">
        <f>Infill[[#This Row],[g]]/Infill[[#This Row],[Total Time]]</f>
        <v>0.52482788246084544</v>
      </c>
      <c r="AJ8" s="2">
        <f>Infill[[#This Row],[g/t]]/AVERAGEIFS(Infill[g/t],Infill[Material Usage Icon],_xlfn.XLOOKUP("Normal",Rating[Name],Rating[level-to-worse]))</f>
        <v>0.95575501385896511</v>
      </c>
      <c r="AK8" s="2" t="str">
        <f>_xlfn.XLOOKUP(Infill[[#This Row],[g/t prom]],Rating[Max %],Rating[Name],,1)</f>
        <v>Normal</v>
      </c>
      <c r="AL8" s="1" t="str">
        <f>_xlfn.XLOOKUP(Infill[[#This Row],[g/t prom]],Rating[Max %],Rating[level-to-better],,1)</f>
        <v>![level-to-better-4](https://github.com/OrcaSlicer/OrcaSlicer_WIKI/blob/main/images/misc/level-to-better-4.svg?raw=true)</v>
      </c>
      <c r="AM8" s="2" t="str">
        <f>SUBSTITUTE(LOWER(Infill[[#This Row],[name]])," ","-")</f>
        <v>locked-zag</v>
      </c>
      <c r="AN8" t="str">
        <f>"param_"&amp;Infill[[#This Row],[infill]]</f>
        <v>param_lockedzag</v>
      </c>
      <c r="AO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P8" s="2" t="str">
        <f>"["&amp;Infill[[#This Row],[name]]&amp;"](#"&amp;Infill[[#This Row],[nameMD]]&amp;")"</f>
        <v>[Locked Zag](#locked-zag)</v>
      </c>
      <c r="AQ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**[Smooth Factor](strength_settings_infill#sparse-infill-smooth-factor):** No
- **Applies to:**
    - **[Sparse Infill](strength_settings_infill#sparse-infill-density)**
![infill-top-locked-zag](https://github.com/OrcaSlicer/OrcaSlicer_WIKI/blob/main/images/fill/infill-top-locked-zag.png?raw=true)
</v>
      </c>
      <c r="AS8" t="str">
        <f>IF(OR(Infill[[#This Row],[Is Infill]],Infill[[#This Row],[Is Surface]])," { """&amp;Infill[[#This Row],[infill]]&amp;""", "&amp;Infill[[#This Row],[ip]]&amp;" },","")</f>
        <v xml:space="preserve"> { "lockedzag", ipLockedZag },</v>
      </c>
      <c r="AT8" t="str">
        <f>IF(OR(Infill[[#This Row],[Is Infill]],Infill[[#This Row],[Is Surface]]),"def-&gt;enum_values.push_back("""&amp;Infill[[#This Row],[infill]]&amp;""");","")</f>
        <v>def-&gt;enum_values.push_back("lockedzag");</v>
      </c>
      <c r="AU8" t="str">
        <f>IF(OR(Infill[[#This Row],[Is Infill]],Infill[[#This Row],[Is Surface]]),"def-&gt;enum_labels.push_back(L("""&amp;Infill[[#This Row],[name]]&amp;"""));","")</f>
        <v>def-&gt;enum_labels.push_back(L("Locked Zag"));</v>
      </c>
      <c r="AW8" t="str">
        <f>Infill[[#This Row],[SVG Link]]</f>
        <v>&lt;img alt="param_lockedzag" src="https://github.com/OrcaSlicer/OrcaSlicer/blob/main/resources/images/param_lockedzag.svg?raw=true" height="45"&gt;</v>
      </c>
      <c r="AX8" s="1" t="str">
        <f>"["&amp;Infill[[#This Row],[name]]&amp;"](strength_settings_patterns#"&amp;Infill[[#This Row],[nameMD]]&amp;")"</f>
        <v>[Locked Zag](strength_settings_patterns#locked-zag)</v>
      </c>
      <c r="AY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8" s="1" t="str">
        <f>Infill[[#This Row],[Material Usage Icon]]</f>
        <v>![level-to-worse-5](https://github.com/OrcaSlicer/OrcaSlicer_WIKI/blob/main/images/misc/level-to-worse-5.svg?raw=true)</v>
      </c>
      <c r="BA8" s="1" t="str">
        <f>Infill[[#This Row],[Print Time Icon]]</f>
        <v>![level-to-worse-5](https://github.com/OrcaSlicer/OrcaSlicer_WIKI/blob/main/images/misc/level-to-worse-5.svg?raw=true)</v>
      </c>
      <c r="BB8" t="str">
        <f ca="1">Infill[[#This Row],[Layer time Variability Icon]]</f>
        <v>![level-to-worse-0](https://github.com/OrcaSlicer/OrcaSlicer_WIKI/blob/main/images/misc/level-to-worse-0.svg?raw=true)</v>
      </c>
      <c r="BC8" s="1" t="str">
        <f>Infill[[#This Row],[Multiline]]</f>
        <v>No</v>
      </c>
    </row>
    <row r="9" spans="1:55" ht="300" x14ac:dyDescent="0.25">
      <c r="A9" t="s">
        <v>46</v>
      </c>
      <c r="B9">
        <v>1</v>
      </c>
      <c r="E9">
        <v>7</v>
      </c>
      <c r="F9" t="b">
        <v>1</v>
      </c>
      <c r="G9" t="b">
        <v>0</v>
      </c>
      <c r="H9" t="b">
        <v>0</v>
      </c>
      <c r="I9" t="s">
        <v>3</v>
      </c>
      <c r="J9" t="s">
        <v>1</v>
      </c>
      <c r="K9" t="s">
        <v>90</v>
      </c>
      <c r="L9" t="s">
        <v>119</v>
      </c>
      <c r="M9" t="s">
        <v>216</v>
      </c>
      <c r="N9" t="s">
        <v>216</v>
      </c>
      <c r="O9" t="s">
        <v>216</v>
      </c>
      <c r="P9" s="6" t="s">
        <v>53</v>
      </c>
      <c r="Q9">
        <v>2</v>
      </c>
      <c r="R9" t="str">
        <f>_xlfn.XLOOKUP(Infill[[#This Row],[XY-N]],Rating[N],Rating[Name])</f>
        <v>Low</v>
      </c>
      <c r="S9" t="str">
        <f>_xlfn.XLOOKUP(Infill[[#This Row],[XY-N]],Rating[N],Rating[level-to-better])</f>
        <v>![level-to-better-2](https://github.com/OrcaSlicer/OrcaSlicer_WIKI/blob/main/images/misc/level-to-better-2.svg?raw=true)</v>
      </c>
      <c r="T9">
        <v>2</v>
      </c>
      <c r="U9" t="str">
        <f>_xlfn.XLOOKUP(Infill[[#This Row],[Z-N]],Rating[N],Rating[Name])</f>
        <v>Low</v>
      </c>
      <c r="V9" t="str">
        <f>_xlfn.XLOOKUP(Infill[[#This Row],[Z-N]],Rating[N],Rating[level-to-better])</f>
        <v>![level-to-better-2](https://github.com/OrcaSlicer/OrcaSlicer_WIKI/blob/main/images/misc/level-to-better-2.svg?raw=true)</v>
      </c>
      <c r="W9" s="11">
        <f ca="1">_xlfn.XLOOKUP(Infill[[#This Row],[infill]],Tabla7[infill],Tabla7[% 2 Sigma])</f>
        <v>8.6980852035178913E-5</v>
      </c>
      <c r="X9" t="str">
        <f ca="1">_xlfn.XLOOKUP(Infill[[#This Row],[% 2 Sigma]],AbsRating[Max %],AbsRating[Name],,1)</f>
        <v>None</v>
      </c>
      <c r="Y9" t="str">
        <f ca="1">_xlfn.XLOOKUP(Infill[[#This Row],[% 2 Sigma]],AbsRating[Max %],AbsRating[icon],,1)</f>
        <v>![level-to-worse-0](https://github.com/OrcaSlicer/OrcaSlicer_WIKI/blob/main/images/misc/level-to-worse-0.svg?raw=true)</v>
      </c>
      <c r="Z9" s="2" t="s">
        <v>72</v>
      </c>
      <c r="AA9">
        <f>_xlfn.XLOOKUP(Infill[[#This Row],[infill]],Tabla7[infill],Tabla7[g])</f>
        <v>154.13200000000001</v>
      </c>
      <c r="AB9" s="2">
        <f>Infill[[#This Row],[g]]/(997.25*0.15)</f>
        <v>1.0303802122503551</v>
      </c>
      <c r="AC9" s="2" t="str">
        <f>_xlfn.XLOOKUP(Infill[[#This Row],[% Effective]],Rating[Max %],Rating[Name],,1)</f>
        <v>Normal</v>
      </c>
      <c r="AD9" s="2" t="str">
        <f>_xlfn.XLOOKUP(Infill[[#This Row],[% Effective]],Rating[Max %],Rating[level-to-worse],,1)</f>
        <v>![level-to-worse-4](https://github.com/OrcaSlicer/OrcaSlicer_WIKI/blob/main/images/misc/level-to-worse-4.svg?raw=true)</v>
      </c>
      <c r="AE9">
        <f>_xlfn.XLOOKUP(Infill[[#This Row],[infill]],Tabla7[infill],Tabla7[Total Time])</f>
        <v>233.01300000000001</v>
      </c>
      <c r="AF9" s="2">
        <f>Infill[[#This Row],[Total Time]]/AVERAGEIFS(Infill[Total Time],Infill[Material Usage Icon],_xlfn.XLOOKUP("Normal",Rating[Name],Rating[level-to-worse]))</f>
        <v>0.77270314225653058</v>
      </c>
      <c r="AG9" s="2" t="str">
        <f>_xlfn.XLOOKUP(Infill[[#This Row],[t prom]],Rating[Max %],Rating[Name],,1)</f>
        <v>Normal-Low</v>
      </c>
      <c r="AH9" s="2" t="str">
        <f>_xlfn.XLOOKUP(Infill[[#This Row],[t prom]],Rating[Max %],Rating[level-to-worse],,1)</f>
        <v>![level-to-worse-3](https://github.com/OrcaSlicer/OrcaSlicer_WIKI/blob/main/images/misc/level-to-worse-3.svg?raw=true)</v>
      </c>
      <c r="AI9" s="3">
        <f>Infill[[#This Row],[g]]/Infill[[#This Row],[Total Time]]</f>
        <v>0.66147382334891192</v>
      </c>
      <c r="AJ9" s="2">
        <f>Infill[[#This Row],[g/t]]/AVERAGEIFS(Infill[g/t],Infill[Material Usage Icon],_xlfn.XLOOKUP("Normal",Rating[Name],Rating[level-to-worse]))</f>
        <v>1.2045985823730458</v>
      </c>
      <c r="AK9" s="2" t="str">
        <f>_xlfn.XLOOKUP(Infill[[#This Row],[g/t prom]],Rating[Max %],Rating[Name],,1)</f>
        <v>Normal-High</v>
      </c>
      <c r="AL9" s="1" t="str">
        <f>_xlfn.XLOOKUP(Infill[[#This Row],[g/t prom]],Rating[Max %],Rating[level-to-better],,1)</f>
        <v>![level-to-better-5](https://github.com/OrcaSlicer/OrcaSlicer_WIKI/blob/main/images/misc/level-to-better-5.svg?raw=true)</v>
      </c>
      <c r="AM9" s="2" t="str">
        <f>SUBSTITUTE(LOWER(Infill[[#This Row],[name]])," ","-")</f>
        <v>line</v>
      </c>
      <c r="AN9" t="str">
        <f>"param_"&amp;Infill[[#This Row],[infill]]</f>
        <v>param_line</v>
      </c>
      <c r="AO9" t="str">
        <f>"&lt;img alt=""" &amp; Infill[[#This Row],[SVG]] &amp; """ src=""https://github.com/OrcaSlicer/OrcaSlicer/blob/main/resources/images/" &amp; Infill[[#This Row],[SVG]] &amp; ".svg?raw=true"" height=""45""&gt;"</f>
        <v>&lt;img alt="param_line" src="https://github.com/OrcaSlicer/OrcaSlicer/blob/main/resources/images/param_line.svg?raw=true" height="45"&gt;</v>
      </c>
      <c r="AP9" s="2" t="str">
        <f>"["&amp;Infill[[#This Row],[name]]&amp;"](#"&amp;Infill[[#This Row],[nameMD]]&amp;")"</f>
        <v>[Line](#line)</v>
      </c>
      <c r="AQ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**[Smooth Factor](strength_settings_infill#sparse-infill-smooth-factor):** No
- **Applies to:**
    - **[Sparse Infill](strength_settings_infill#sparse-infill-density)**
![infill-top-line](https://github.com/OrcaSlicer/OrcaSlicer_WIKI/blob/main/images/fill/infill-top-line.png?raw=true)
</v>
      </c>
      <c r="AS9" t="str">
        <f>IF(OR(Infill[[#This Row],[Is Infill]],Infill[[#This Row],[Is Surface]])," { """&amp;Infill[[#This Row],[infill]]&amp;""", "&amp;Infill[[#This Row],[ip]]&amp;" },","")</f>
        <v xml:space="preserve"> { "line", ipLine },</v>
      </c>
      <c r="AT9" t="str">
        <f>IF(OR(Infill[[#This Row],[Is Infill]],Infill[[#This Row],[Is Surface]]),"def-&gt;enum_values.push_back("""&amp;Infill[[#This Row],[infill]]&amp;""");","")</f>
        <v>def-&gt;enum_values.push_back("line");</v>
      </c>
      <c r="AU9" t="str">
        <f>IF(OR(Infill[[#This Row],[Is Infill]],Infill[[#This Row],[Is Surface]]),"def-&gt;enum_labels.push_back(L("""&amp;Infill[[#This Row],[name]]&amp;"""));","")</f>
        <v>def-&gt;enum_labels.push_back(L("Line"));</v>
      </c>
      <c r="AW9" t="str">
        <f>Infill[[#This Row],[SVG Link]]</f>
        <v>&lt;img alt="param_line" src="https://github.com/OrcaSlicer/OrcaSlicer/blob/main/resources/images/param_line.svg?raw=true" height="45"&gt;</v>
      </c>
      <c r="AX9" s="1" t="str">
        <f>"["&amp;Infill[[#This Row],[name]]&amp;"](strength_settings_patterns#"&amp;Infill[[#This Row],[nameMD]]&amp;")"</f>
        <v>[Line](strength_settings_patterns#line)</v>
      </c>
      <c r="AY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9" s="1" t="str">
        <f>Infill[[#This Row],[Material Usage Icon]]</f>
        <v>![level-to-worse-4](https://github.com/OrcaSlicer/OrcaSlicer_WIKI/blob/main/images/misc/level-to-worse-4.svg?raw=true)</v>
      </c>
      <c r="BA9" s="1" t="str">
        <f>Infill[[#This Row],[Print Time Icon]]</f>
        <v>![level-to-worse-3](https://github.com/OrcaSlicer/OrcaSlicer_WIKI/blob/main/images/misc/level-to-worse-3.svg?raw=true)</v>
      </c>
      <c r="BB9" t="str">
        <f ca="1">Infill[[#This Row],[Layer time Variability Icon]]</f>
        <v>![level-to-worse-0](https://github.com/OrcaSlicer/OrcaSlicer_WIKI/blob/main/images/misc/level-to-worse-0.svg?raw=true)</v>
      </c>
      <c r="BC9" s="1" t="str">
        <f>Infill[[#This Row],[Multiline]]</f>
        <v>No</v>
      </c>
    </row>
    <row r="10" spans="1:55" ht="300" x14ac:dyDescent="0.25">
      <c r="A10" t="s">
        <v>167</v>
      </c>
      <c r="B10" t="s">
        <v>164</v>
      </c>
      <c r="E10">
        <v>8</v>
      </c>
      <c r="F10" t="b">
        <v>1</v>
      </c>
      <c r="G10" t="b">
        <v>0</v>
      </c>
      <c r="H10" t="b">
        <v>0</v>
      </c>
      <c r="I10" t="s">
        <v>2</v>
      </c>
      <c r="J10" t="s">
        <v>151</v>
      </c>
      <c r="K10" t="s">
        <v>89</v>
      </c>
      <c r="L10" t="s">
        <v>118</v>
      </c>
      <c r="M10" t="s">
        <v>218</v>
      </c>
      <c r="N10" t="s">
        <v>216</v>
      </c>
      <c r="O10" t="s">
        <v>247</v>
      </c>
      <c r="P10" s="6" t="s">
        <v>52</v>
      </c>
      <c r="Q10">
        <v>6</v>
      </c>
      <c r="R10" t="str">
        <f>_xlfn.XLOOKUP(Infill[[#This Row],[XY-N]],Rating[N],Rating[Name])</f>
        <v>High</v>
      </c>
      <c r="S10" t="str">
        <f>_xlfn.XLOOKUP(Infill[[#This Row],[XY-N]],Rating[N],Rating[level-to-better])</f>
        <v>![level-to-better-6](https://github.com/OrcaSlicer/OrcaSlicer_WIKI/blob/main/images/misc/level-to-better-6.svg?raw=true)</v>
      </c>
      <c r="T10">
        <v>6</v>
      </c>
      <c r="U10" t="str">
        <f>_xlfn.XLOOKUP(Infill[[#This Row],[Z-N]],Rating[N],Rating[Name])</f>
        <v>High</v>
      </c>
      <c r="V10" t="str">
        <f>_xlfn.XLOOKUP(Infill[[#This Row],[Z-N]],Rating[N],Rating[level-to-better])</f>
        <v>![level-to-better-6](https://github.com/OrcaSlicer/OrcaSlicer_WIKI/blob/main/images/misc/level-to-better-6.svg?raw=true)</v>
      </c>
      <c r="W10" s="11">
        <f ca="1">_xlfn.XLOOKUP(Infill[[#This Row],[infill]],Tabla7[infill],Tabla7[% 2 Sigma])</f>
        <v>2.3202246436908602E-3</v>
      </c>
      <c r="X10" t="str">
        <f ca="1">_xlfn.XLOOKUP(Infill[[#This Row],[% 2 Sigma]],AbsRating[Max %],AbsRating[Name],,1)</f>
        <v>None</v>
      </c>
      <c r="Y10" t="str">
        <f ca="1">_xlfn.XLOOKUP(Infill[[#This Row],[% 2 Sigma]],AbsRating[Max %],AbsRating[icon],,1)</f>
        <v>![level-to-worse-0](https://github.com/OrcaSlicer/OrcaSlicer_WIKI/blob/main/images/misc/level-to-worse-0.svg?raw=true)</v>
      </c>
      <c r="Z10" s="2" t="s">
        <v>72</v>
      </c>
      <c r="AA10">
        <f>_xlfn.XLOOKUP(Infill[[#This Row],[infill]],Tabla7[infill],Tabla7[g])</f>
        <v>149.02500000000001</v>
      </c>
      <c r="AB10" s="2">
        <f>Infill[[#This Row],[g]]/(997.25*0.15)</f>
        <v>0.99623965906242162</v>
      </c>
      <c r="AC10" s="2" t="str">
        <f>_xlfn.XLOOKUP(Infill[[#This Row],[% Effective]],Rating[Max %],Rating[Name],,1)</f>
        <v>Normal</v>
      </c>
      <c r="AD10" s="2" t="str">
        <f>_xlfn.XLOOKUP(Infill[[#This Row],[% Effective]],Rating[Max %],Rating[level-to-worse],,1)</f>
        <v>![level-to-worse-4](https://github.com/OrcaSlicer/OrcaSlicer_WIKI/blob/main/images/misc/level-to-worse-4.svg?raw=true)</v>
      </c>
      <c r="AE10">
        <f>_xlfn.XLOOKUP(Infill[[#This Row],[infill]],Tabla7[infill],Tabla7[Total Time])</f>
        <v>228.24299999999999</v>
      </c>
      <c r="AF10" s="2">
        <f>Infill[[#This Row],[Total Time]]/AVERAGEIFS(Infill[Total Time],Infill[Material Usage Icon],_xlfn.XLOOKUP("Normal",Rating[Name],Rating[level-to-worse]))</f>
        <v>0.75688516648451931</v>
      </c>
      <c r="AG10" s="2" t="str">
        <f>_xlfn.XLOOKUP(Infill[[#This Row],[t prom]],Rating[Max %],Rating[Name],,1)</f>
        <v>Normal-Low</v>
      </c>
      <c r="AH10" s="2" t="str">
        <f>_xlfn.XLOOKUP(Infill[[#This Row],[t prom]],Rating[Max %],Rating[level-to-worse],,1)</f>
        <v>![level-to-worse-3](https://github.com/OrcaSlicer/OrcaSlicer_WIKI/blob/main/images/misc/level-to-worse-3.svg?raw=true)</v>
      </c>
      <c r="AI10" s="3">
        <f>Infill[[#This Row],[g]]/Infill[[#This Row],[Total Time]]</f>
        <v>0.65292254307908681</v>
      </c>
      <c r="AJ10" s="2">
        <f>Infill[[#This Row],[g/t]]/AVERAGEIFS(Infill[g/t],Infill[Material Usage Icon],_xlfn.XLOOKUP("Normal",Rating[Name],Rating[level-to-worse]))</f>
        <v>1.1890259932139546</v>
      </c>
      <c r="AK10" s="2" t="str">
        <f>_xlfn.XLOOKUP(Infill[[#This Row],[g/t prom]],Rating[Max %],Rating[Name],,1)</f>
        <v>Normal-High</v>
      </c>
      <c r="AL10" s="1" t="str">
        <f>_xlfn.XLOOKUP(Infill[[#This Row],[g/t prom]],Rating[Max %],Rating[level-to-better],,1)</f>
        <v>![level-to-better-5](https://github.com/OrcaSlicer/OrcaSlicer_WIKI/blob/main/images/misc/level-to-better-5.svg?raw=true)</v>
      </c>
      <c r="AM10" s="2" t="str">
        <f>SUBSTITUTE(LOWER(Infill[[#This Row],[name]])," ","-")</f>
        <v>grid</v>
      </c>
      <c r="AN10" t="str">
        <f>"param_"&amp;Infill[[#This Row],[infill]]</f>
        <v>param_grid</v>
      </c>
      <c r="AO10" t="str">
        <f>"&lt;img alt=""" &amp; Infill[[#This Row],[SVG]] &amp; """ src=""https://github.com/OrcaSlicer/OrcaSlicer/blob/main/resources/images/" &amp; Infill[[#This Row],[SVG]] &amp; ".svg?raw=true"" height=""45""&gt;"</f>
        <v>&lt;img alt="param_grid" src="https://github.com/OrcaSlicer/OrcaSlicer/blob/main/resources/images/param_grid.svg?raw=true" height="45"&gt;</v>
      </c>
      <c r="AP10" s="2" t="str">
        <f>"["&amp;Infill[[#This Row],[name]]&amp;"](#"&amp;Infill[[#This Row],[nameMD]]&amp;")"</f>
        <v>[Grid](#grid)</v>
      </c>
      <c r="AQ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![infill-top-grid](https://github.com/OrcaSlicer/OrcaSlicer_WIKI/blob/main/images/fill/infill-top-grid.png?raw=true)
</v>
      </c>
      <c r="AS10" t="str">
        <f>IF(OR(Infill[[#This Row],[Is Infill]],Infill[[#This Row],[Is Surface]])," { """&amp;Infill[[#This Row],[infill]]&amp;""", "&amp;Infill[[#This Row],[ip]]&amp;" },","")</f>
        <v xml:space="preserve"> { "grid", ipGrid },</v>
      </c>
      <c r="AT10" t="str">
        <f>IF(OR(Infill[[#This Row],[Is Infill]],Infill[[#This Row],[Is Surface]]),"def-&gt;enum_values.push_back("""&amp;Infill[[#This Row],[infill]]&amp;""");","")</f>
        <v>def-&gt;enum_values.push_back("grid");</v>
      </c>
      <c r="AU10" t="str">
        <f>IF(OR(Infill[[#This Row],[Is Infill]],Infill[[#This Row],[Is Surface]]),"def-&gt;enum_labels.push_back(L("""&amp;Infill[[#This Row],[name]]&amp;"""));","")</f>
        <v>def-&gt;enum_labels.push_back(L("Grid"));</v>
      </c>
      <c r="AW10" t="str">
        <f>Infill[[#This Row],[SVG Link]]</f>
        <v>&lt;img alt="param_grid" src="https://github.com/OrcaSlicer/OrcaSlicer/blob/main/resources/images/param_grid.svg?raw=true" height="45"&gt;</v>
      </c>
      <c r="AX10" s="1" t="str">
        <f>"["&amp;Infill[[#This Row],[name]]&amp;"](strength_settings_patterns#"&amp;Infill[[#This Row],[nameMD]]&amp;")"</f>
        <v>[Grid](strength_settings_patterns#grid)</v>
      </c>
      <c r="AY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0" s="1" t="str">
        <f>Infill[[#This Row],[Material Usage Icon]]</f>
        <v>![level-to-worse-4](https://github.com/OrcaSlicer/OrcaSlicer_WIKI/blob/main/images/misc/level-to-worse-4.svg?raw=true)</v>
      </c>
      <c r="BA10" s="1" t="str">
        <f>Infill[[#This Row],[Print Time Icon]]</f>
        <v>![level-to-worse-3](https://github.com/OrcaSlicer/OrcaSlicer_WIKI/blob/main/images/misc/level-to-worse-3.svg?raw=true)</v>
      </c>
      <c r="BB10" t="str">
        <f ca="1">Infill[[#This Row],[Layer time Variability Icon]]</f>
        <v>![level-to-worse-0](https://github.com/OrcaSlicer/OrcaSlicer_WIKI/blob/main/images/misc/level-to-worse-0.svg?raw=true)</v>
      </c>
      <c r="BC10" s="1" t="str">
        <f>Infill[[#This Row],[Multiline]]</f>
        <v>[Non-Crossing](strength_settings_infill#non-crossing-strategy)</v>
      </c>
    </row>
    <row r="11" spans="1:55" ht="300" x14ac:dyDescent="0.25">
      <c r="A11" t="s">
        <v>185</v>
      </c>
      <c r="B11" t="s">
        <v>168</v>
      </c>
      <c r="E11">
        <v>9</v>
      </c>
      <c r="F11" t="b">
        <v>1</v>
      </c>
      <c r="G11" t="b">
        <v>0</v>
      </c>
      <c r="H11" t="b">
        <v>0</v>
      </c>
      <c r="I11" t="s">
        <v>5</v>
      </c>
      <c r="J11" t="s">
        <v>151</v>
      </c>
      <c r="K11" t="s">
        <v>92</v>
      </c>
      <c r="L11" t="s">
        <v>121</v>
      </c>
      <c r="M11" t="s">
        <v>218</v>
      </c>
      <c r="N11" t="s">
        <v>216</v>
      </c>
      <c r="O11" t="s">
        <v>247</v>
      </c>
      <c r="P11" s="6" t="s">
        <v>55</v>
      </c>
      <c r="Q11">
        <v>6</v>
      </c>
      <c r="R11" t="str">
        <f>_xlfn.XLOOKUP(Infill[[#This Row],[XY-N]],Rating[N],Rating[Name])</f>
        <v>High</v>
      </c>
      <c r="S11" t="str">
        <f>_xlfn.XLOOKUP(Infill[[#This Row],[XY-N]],Rating[N],Rating[level-to-better])</f>
        <v>![level-to-better-6](https://github.com/OrcaSlicer/OrcaSlicer_WIKI/blob/main/images/misc/level-to-better-6.svg?raw=true)</v>
      </c>
      <c r="T11">
        <v>4</v>
      </c>
      <c r="U11" t="str">
        <f>_xlfn.XLOOKUP(Infill[[#This Row],[Z-N]],Rating[N],Rating[Name])</f>
        <v>Normal</v>
      </c>
      <c r="V11" t="str">
        <f>_xlfn.XLOOKUP(Infill[[#This Row],[Z-N]],Rating[N],Rating[level-to-better])</f>
        <v>![level-to-better-4](https://github.com/OrcaSlicer/OrcaSlicer_WIKI/blob/main/images/misc/level-to-better-4.svg?raw=true)</v>
      </c>
      <c r="W11" s="11">
        <f ca="1">_xlfn.XLOOKUP(Infill[[#This Row],[infill]],Tabla7[infill],Tabla7[% 2 Sigma])</f>
        <v>5.2915881382993302E-3</v>
      </c>
      <c r="X11" t="str">
        <f ca="1">_xlfn.XLOOKUP(Infill[[#This Row],[% 2 Sigma]],AbsRating[Max %],AbsRating[Name],,1)</f>
        <v>None</v>
      </c>
      <c r="Y11" t="str">
        <f ca="1">_xlfn.XLOOKUP(Infill[[#This Row],[% 2 Sigma]],AbsRating[Max %],AbsRating[icon],,1)</f>
        <v>![level-to-worse-0](https://github.com/OrcaSlicer/OrcaSlicer_WIKI/blob/main/images/misc/level-to-worse-0.svg?raw=true)</v>
      </c>
      <c r="Z11" s="2" t="s">
        <v>72</v>
      </c>
      <c r="AA11">
        <f>_xlfn.XLOOKUP(Infill[[#This Row],[infill]],Tabla7[infill],Tabla7[g])</f>
        <v>149.238</v>
      </c>
      <c r="AB11" s="2">
        <f>Infill[[#This Row],[g]]/(997.25*0.15)</f>
        <v>0.99766357483078461</v>
      </c>
      <c r="AC11" s="2" t="str">
        <f>_xlfn.XLOOKUP(Infill[[#This Row],[% Effective]],Rating[Max %],Rating[Name],,1)</f>
        <v>Normal</v>
      </c>
      <c r="AD11" s="2" t="str">
        <f>_xlfn.XLOOKUP(Infill[[#This Row],[% Effective]],Rating[Max %],Rating[level-to-worse],,1)</f>
        <v>![level-to-worse-4](https://github.com/OrcaSlicer/OrcaSlicer_WIKI/blob/main/images/misc/level-to-worse-4.svg?raw=true)</v>
      </c>
      <c r="AE11">
        <f>_xlfn.XLOOKUP(Infill[[#This Row],[infill]],Tabla7[infill],Tabla7[Total Time])</f>
        <v>237.393</v>
      </c>
      <c r="AF11" s="2">
        <f>Infill[[#This Row],[Total Time]]/AVERAGEIFS(Infill[Total Time],Infill[Material Usage Icon],_xlfn.XLOOKUP("Normal",Rating[Name],Rating[level-to-worse]))</f>
        <v>0.78722782441196226</v>
      </c>
      <c r="AG11" s="2" t="str">
        <f>_xlfn.XLOOKUP(Infill[[#This Row],[t prom]],Rating[Max %],Rating[Name],,1)</f>
        <v>Normal-Low</v>
      </c>
      <c r="AH11" s="2" t="str">
        <f>_xlfn.XLOOKUP(Infill[[#This Row],[t prom]],Rating[Max %],Rating[level-to-worse],,1)</f>
        <v>![level-to-worse-3](https://github.com/OrcaSlicer/OrcaSlicer_WIKI/blob/main/images/misc/level-to-worse-3.svg?raw=true)</v>
      </c>
      <c r="AI11" s="3">
        <f>Infill[[#This Row],[g]]/Infill[[#This Row],[Total Time]]</f>
        <v>0.62865375137430335</v>
      </c>
      <c r="AJ11" s="2">
        <f>Infill[[#This Row],[g/t]]/AVERAGEIFS(Infill[g/t],Infill[Material Usage Icon],_xlfn.XLOOKUP("Normal",Rating[Name],Rating[level-to-worse]))</f>
        <v>1.1448305147965592</v>
      </c>
      <c r="AK11" s="2" t="str">
        <f>_xlfn.XLOOKUP(Infill[[#This Row],[g/t prom]],Rating[Max %],Rating[Name],,1)</f>
        <v>Normal-High</v>
      </c>
      <c r="AL11" s="1" t="str">
        <f>_xlfn.XLOOKUP(Infill[[#This Row],[g/t prom]],Rating[Max %],Rating[level-to-better],,1)</f>
        <v>![level-to-better-5](https://github.com/OrcaSlicer/OrcaSlicer_WIKI/blob/main/images/misc/level-to-better-5.svg?raw=true)</v>
      </c>
      <c r="AM11" s="2" t="str">
        <f>SUBSTITUTE(LOWER(Infill[[#This Row],[name]])," ","-")</f>
        <v>triangles</v>
      </c>
      <c r="AN11" t="str">
        <f>"param_"&amp;Infill[[#This Row],[infill]]</f>
        <v>param_triangles</v>
      </c>
      <c r="AO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P11" s="2" t="str">
        <f>"["&amp;Infill[[#This Row],[name]]&amp;"](#"&amp;Infill[[#This Row],[nameMD]]&amp;")"</f>
        <v>[Triangles](#triangles)</v>
      </c>
      <c r="AQ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![infill-top-triangles](https://github.com/OrcaSlicer/OrcaSlicer_WIKI/blob/main/images/fill/infill-top-triangles.png?raw=true)
</v>
      </c>
      <c r="AS11" t="str">
        <f>IF(OR(Infill[[#This Row],[Is Infill]],Infill[[#This Row],[Is Surface]])," { """&amp;Infill[[#This Row],[infill]]&amp;""", "&amp;Infill[[#This Row],[ip]]&amp;" },","")</f>
        <v xml:space="preserve"> { "triangles", ipTriangles },</v>
      </c>
      <c r="AT11" t="str">
        <f>IF(OR(Infill[[#This Row],[Is Infill]],Infill[[#This Row],[Is Surface]]),"def-&gt;enum_values.push_back("""&amp;Infill[[#This Row],[infill]]&amp;""");","")</f>
        <v>def-&gt;enum_values.push_back("triangles");</v>
      </c>
      <c r="AU11" t="str">
        <f>IF(OR(Infill[[#This Row],[Is Infill]],Infill[[#This Row],[Is Surface]]),"def-&gt;enum_labels.push_back(L("""&amp;Infill[[#This Row],[name]]&amp;"""));","")</f>
        <v>def-&gt;enum_labels.push_back(L("Triangles"));</v>
      </c>
      <c r="AW11" t="str">
        <f>Infill[[#This Row],[SVG Link]]</f>
        <v>&lt;img alt="param_triangles" src="https://github.com/OrcaSlicer/OrcaSlicer/blob/main/resources/images/param_triangles.svg?raw=true" height="45"&gt;</v>
      </c>
      <c r="AX11" s="1" t="str">
        <f>"["&amp;Infill[[#This Row],[name]]&amp;"](strength_settings_patterns#"&amp;Infill[[#This Row],[nameMD]]&amp;")"</f>
        <v>[Triangles](strength_settings_patterns#triangles)</v>
      </c>
      <c r="AY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Z11" s="1" t="str">
        <f>Infill[[#This Row],[Material Usage Icon]]</f>
        <v>![level-to-worse-4](https://github.com/OrcaSlicer/OrcaSlicer_WIKI/blob/main/images/misc/level-to-worse-4.svg?raw=true)</v>
      </c>
      <c r="BA11" s="1" t="str">
        <f>Infill[[#This Row],[Print Time Icon]]</f>
        <v>![level-to-worse-3](https://github.com/OrcaSlicer/OrcaSlicer_WIKI/blob/main/images/misc/level-to-worse-3.svg?raw=true)</v>
      </c>
      <c r="BB11" t="str">
        <f ca="1">Infill[[#This Row],[Layer time Variability Icon]]</f>
        <v>![level-to-worse-0](https://github.com/OrcaSlicer/OrcaSlicer_WIKI/blob/main/images/misc/level-to-worse-0.svg?raw=true)</v>
      </c>
      <c r="BC11" s="1" t="str">
        <f>Infill[[#This Row],[Multiline]]</f>
        <v>[Non-Crossing](strength_settings_infill#non-crossing-strategy)</v>
      </c>
    </row>
    <row r="12" spans="1:55" ht="300" x14ac:dyDescent="0.25">
      <c r="A12" t="s">
        <v>186</v>
      </c>
      <c r="B12" t="s">
        <v>170</v>
      </c>
      <c r="E12">
        <v>10</v>
      </c>
      <c r="F12" t="b">
        <v>1</v>
      </c>
      <c r="G12" t="b">
        <v>0</v>
      </c>
      <c r="H12" t="b">
        <v>0</v>
      </c>
      <c r="I12" t="s">
        <v>6</v>
      </c>
      <c r="J12" t="s">
        <v>151</v>
      </c>
      <c r="K12" t="s">
        <v>93</v>
      </c>
      <c r="L12" t="s">
        <v>122</v>
      </c>
      <c r="M12" t="s">
        <v>218</v>
      </c>
      <c r="N12" t="s">
        <v>216</v>
      </c>
      <c r="O12" t="s">
        <v>247</v>
      </c>
      <c r="P12" s="6" t="s">
        <v>56</v>
      </c>
      <c r="Q12">
        <v>6</v>
      </c>
      <c r="R12" t="str">
        <f>_xlfn.XLOOKUP(Infill[[#This Row],[XY-N]],Rating[N],Rating[Name])</f>
        <v>High</v>
      </c>
      <c r="S12" t="str">
        <f>_xlfn.XLOOKUP(Infill[[#This Row],[XY-N]],Rating[N],Rating[level-to-better])</f>
        <v>![level-to-better-6](https://github.com/OrcaSlicer/OrcaSlicer_WIKI/blob/main/images/misc/level-to-better-6.svg?raw=true)</v>
      </c>
      <c r="T12">
        <v>5</v>
      </c>
      <c r="U12" t="str">
        <f>_xlfn.XLOOKUP(Infill[[#This Row],[Z-N]],Rating[N],Rating[Name])</f>
        <v>Normal-High</v>
      </c>
      <c r="V12" t="str">
        <f>_xlfn.XLOOKUP(Infill[[#This Row],[Z-N]],Rating[N],Rating[level-to-better])</f>
        <v>![level-to-better-5](https://github.com/OrcaSlicer/OrcaSlicer_WIKI/blob/main/images/misc/level-to-better-5.svg?raw=true)</v>
      </c>
      <c r="W12" s="11">
        <f ca="1">_xlfn.XLOOKUP(Infill[[#This Row],[infill]],Tabla7[infill],Tabla7[% 2 Sigma])</f>
        <v>6.8892617533744538E-3</v>
      </c>
      <c r="X12" t="str">
        <f ca="1">_xlfn.XLOOKUP(Infill[[#This Row],[% 2 Sigma]],AbsRating[Max %],AbsRating[Name],,1)</f>
        <v>None</v>
      </c>
      <c r="Y12" t="str">
        <f ca="1">_xlfn.XLOOKUP(Infill[[#This Row],[% 2 Sigma]],AbsRating[Max %],AbsRating[icon],,1)</f>
        <v>![level-to-worse-0](https://github.com/OrcaSlicer/OrcaSlicer_WIKI/blob/main/images/misc/level-to-worse-0.svg?raw=true)</v>
      </c>
      <c r="Z12" s="2" t="s">
        <v>72</v>
      </c>
      <c r="AA12">
        <f>_xlfn.XLOOKUP(Infill[[#This Row],[infill]],Tabla7[infill],Tabla7[g])</f>
        <v>149.01599999999999</v>
      </c>
      <c r="AB12" s="2">
        <f>Infill[[#This Row],[g]]/(997.25*0.15)</f>
        <v>0.99617949360742031</v>
      </c>
      <c r="AC12" s="2" t="str">
        <f>_xlfn.XLOOKUP(Infill[[#This Row],[% Effective]],Rating[Max %],Rating[Name],,1)</f>
        <v>Normal</v>
      </c>
      <c r="AD12" s="2" t="str">
        <f>_xlfn.XLOOKUP(Infill[[#This Row],[% Effective]],Rating[Max %],Rating[level-to-worse],,1)</f>
        <v>![level-to-worse-4](https://github.com/OrcaSlicer/OrcaSlicer_WIKI/blob/main/images/misc/level-to-worse-4.svg?raw=true)</v>
      </c>
      <c r="AE12">
        <f>_xlfn.XLOOKUP(Infill[[#This Row],[infill]],Tabla7[infill],Tabla7[Total Time])</f>
        <v>235.82900000000001</v>
      </c>
      <c r="AF12" s="2">
        <f>Infill[[#This Row],[Total Time]]/AVERAGEIFS(Infill[Total Time],Infill[Material Usage Icon],_xlfn.XLOOKUP("Normal",Rating[Name],Rating[level-to-worse]))</f>
        <v>0.78204138539573054</v>
      </c>
      <c r="AG12" s="2" t="str">
        <f>_xlfn.XLOOKUP(Infill[[#This Row],[t prom]],Rating[Max %],Rating[Name],,1)</f>
        <v>Normal-Low</v>
      </c>
      <c r="AH12" s="2" t="str">
        <f>_xlfn.XLOOKUP(Infill[[#This Row],[t prom]],Rating[Max %],Rating[level-to-worse],,1)</f>
        <v>![level-to-worse-3](https://github.com/OrcaSlicer/OrcaSlicer_WIKI/blob/main/images/misc/level-to-worse-3.svg?raw=true)</v>
      </c>
      <c r="AI12" s="3">
        <f>Infill[[#This Row],[g]]/Infill[[#This Row],[Total Time]]</f>
        <v>0.63188157520915578</v>
      </c>
      <c r="AJ12" s="2">
        <f>Infill[[#This Row],[g/t]]/AVERAGEIFS(Infill[g/t],Infill[Material Usage Icon],_xlfn.XLOOKUP("Normal",Rating[Name],Rating[level-to-worse]))</f>
        <v>1.150708649166152</v>
      </c>
      <c r="AK12" s="2" t="str">
        <f>_xlfn.XLOOKUP(Infill[[#This Row],[g/t prom]],Rating[Max %],Rating[Name],,1)</f>
        <v>Normal-High</v>
      </c>
      <c r="AL12" s="1" t="str">
        <f>_xlfn.XLOOKUP(Infill[[#This Row],[g/t prom]],Rating[Max %],Rating[level-to-better],,1)</f>
        <v>![level-to-better-5](https://github.com/OrcaSlicer/OrcaSlicer_WIKI/blob/main/images/misc/level-to-better-5.svg?raw=true)</v>
      </c>
      <c r="AM12" s="2" t="str">
        <f>SUBSTITUTE(LOWER(Infill[[#This Row],[name]])," ","-")</f>
        <v>tri-hexagon</v>
      </c>
      <c r="AN12" t="str">
        <f>"param_"&amp;Infill[[#This Row],[infill]]</f>
        <v>param_tri-hexagon</v>
      </c>
      <c r="AO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P12" s="2" t="str">
        <f>"["&amp;Infill[[#This Row],[name]]&amp;"](#"&amp;Infill[[#This Row],[nameMD]]&amp;")"</f>
        <v>[Tri-hexagon](#tri-hexagon)</v>
      </c>
      <c r="AQ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![infill-top-tri-hexagon](https://github.com/OrcaSlicer/OrcaSlicer_WIKI/blob/main/images/fill/infill-top-tri-hexagon.png?raw=true)
</v>
      </c>
      <c r="AS12" t="str">
        <f>IF(OR(Infill[[#This Row],[Is Infill]],Infill[[#This Row],[Is Surface]])," { """&amp;Infill[[#This Row],[infill]]&amp;""", "&amp;Infill[[#This Row],[ip]]&amp;" },","")</f>
        <v xml:space="preserve"> { "tri-hexagon", ipStars },</v>
      </c>
      <c r="AT12" t="str">
        <f>IF(OR(Infill[[#This Row],[Is Infill]],Infill[[#This Row],[Is Surface]]),"def-&gt;enum_values.push_back("""&amp;Infill[[#This Row],[infill]]&amp;""");","")</f>
        <v>def-&gt;enum_values.push_back("tri-hexagon");</v>
      </c>
      <c r="AU12" t="str">
        <f>IF(OR(Infill[[#This Row],[Is Infill]],Infill[[#This Row],[Is Surface]]),"def-&gt;enum_labels.push_back(L("""&amp;Infill[[#This Row],[name]]&amp;"""));","")</f>
        <v>def-&gt;enum_labels.push_back(L("Tri-hexagon"));</v>
      </c>
      <c r="AW12" t="str">
        <f>Infill[[#This Row],[SVG Link]]</f>
        <v>&lt;img alt="param_tri-hexagon" src="https://github.com/OrcaSlicer/OrcaSlicer/blob/main/resources/images/param_tri-hexagon.svg?raw=true" height="45"&gt;</v>
      </c>
      <c r="AX12" s="1" t="str">
        <f>"["&amp;Infill[[#This Row],[name]]&amp;"](strength_settings_patterns#"&amp;Infill[[#This Row],[nameMD]]&amp;")"</f>
        <v>[Tri-hexagon](strength_settings_patterns#tri-hexagon)</v>
      </c>
      <c r="AY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Z12" s="1" t="str">
        <f>Infill[[#This Row],[Material Usage Icon]]</f>
        <v>![level-to-worse-4](https://github.com/OrcaSlicer/OrcaSlicer_WIKI/blob/main/images/misc/level-to-worse-4.svg?raw=true)</v>
      </c>
      <c r="BA12" s="1" t="str">
        <f>Infill[[#This Row],[Print Time Icon]]</f>
        <v>![level-to-worse-3](https://github.com/OrcaSlicer/OrcaSlicer_WIKI/blob/main/images/misc/level-to-worse-3.svg?raw=true)</v>
      </c>
      <c r="BB12" t="str">
        <f ca="1">Infill[[#This Row],[Layer time Variability Icon]]</f>
        <v>![level-to-worse-0](https://github.com/OrcaSlicer/OrcaSlicer_WIKI/blob/main/images/misc/level-to-worse-0.svg?raw=true)</v>
      </c>
      <c r="BC12" s="1" t="str">
        <f>Infill[[#This Row],[Multiline]]</f>
        <v>[Non-Crossing](strength_settings_infill#non-crossing-strategy)</v>
      </c>
    </row>
    <row r="13" spans="1:55" ht="300" x14ac:dyDescent="0.25">
      <c r="E13">
        <v>11</v>
      </c>
      <c r="F13" t="b">
        <v>1</v>
      </c>
      <c r="G13" t="b">
        <v>0</v>
      </c>
      <c r="H13" t="b">
        <v>0</v>
      </c>
      <c r="I13" t="s">
        <v>4</v>
      </c>
      <c r="J13" t="s">
        <v>4</v>
      </c>
      <c r="K13" t="s">
        <v>91</v>
      </c>
      <c r="L13" t="s">
        <v>120</v>
      </c>
      <c r="M13" t="s">
        <v>218</v>
      </c>
      <c r="N13" t="s">
        <v>216</v>
      </c>
      <c r="O13" t="s">
        <v>247</v>
      </c>
      <c r="P13" s="6" t="s">
        <v>54</v>
      </c>
      <c r="Q13">
        <v>6</v>
      </c>
      <c r="R13" t="str">
        <f>_xlfn.XLOOKUP(Infill[[#This Row],[XY-N]],Rating[N],Rating[Name])</f>
        <v>High</v>
      </c>
      <c r="S13" t="str">
        <f>_xlfn.XLOOKUP(Infill[[#This Row],[XY-N]],Rating[N],Rating[level-to-better])</f>
        <v>![level-to-better-6](https://github.com/OrcaSlicer/OrcaSlicer_WIKI/blob/main/images/misc/level-to-better-6.svg?raw=true)</v>
      </c>
      <c r="T13">
        <v>6</v>
      </c>
      <c r="U13" t="str">
        <f>_xlfn.XLOOKUP(Infill[[#This Row],[Z-N]],Rating[N],Rating[Name])</f>
        <v>High</v>
      </c>
      <c r="V13" t="str">
        <f>_xlfn.XLOOKUP(Infill[[#This Row],[Z-N]],Rating[N],Rating[level-to-better])</f>
        <v>![level-to-better-6](https://github.com/OrcaSlicer/OrcaSlicer_WIKI/blob/main/images/misc/level-to-better-6.svg?raw=true)</v>
      </c>
      <c r="W13" s="11">
        <f ca="1">_xlfn.XLOOKUP(Infill[[#This Row],[infill]],Tabla7[infill],Tabla7[% 2 Sigma])</f>
        <v>1.1121658311513682E-2</v>
      </c>
      <c r="X13" t="str">
        <f ca="1">_xlfn.XLOOKUP(Infill[[#This Row],[% 2 Sigma]],AbsRating[Max %],AbsRating[Name],,1)</f>
        <v>Unnoticeable</v>
      </c>
      <c r="Y13" t="str">
        <f ca="1">_xlfn.XLOOKUP(Infill[[#This Row],[% 2 Sigma]],AbsRating[Max %],AbsRating[icon],,1)</f>
        <v>![level-to-worse-2](https://github.com/OrcaSlicer/OrcaSlicer_WIKI/blob/main/images/misc/level-to-worse-2.svg?raw=true)</v>
      </c>
      <c r="Z13" s="2" t="s">
        <v>72</v>
      </c>
      <c r="AA13">
        <f>_xlfn.XLOOKUP(Infill[[#This Row],[infill]],Tabla7[infill],Tabla7[g])</f>
        <v>149.00200000000001</v>
      </c>
      <c r="AB13" s="2">
        <f>Infill[[#This Row],[g]]/(997.25*0.15)</f>
        <v>0.99608590289964072</v>
      </c>
      <c r="AC13" s="2" t="str">
        <f>_xlfn.XLOOKUP(Infill[[#This Row],[% Effective]],Rating[Max %],Rating[Name],,1)</f>
        <v>Normal</v>
      </c>
      <c r="AD13" s="2" t="str">
        <f>_xlfn.XLOOKUP(Infill[[#This Row],[% Effective]],Rating[Max %],Rating[level-to-worse],,1)</f>
        <v>![level-to-worse-4](https://github.com/OrcaSlicer/OrcaSlicer_WIKI/blob/main/images/misc/level-to-worse-4.svg?raw=true)</v>
      </c>
      <c r="AE13">
        <f>_xlfn.XLOOKUP(Infill[[#This Row],[infill]],Tabla7[infill],Tabla7[Total Time])</f>
        <v>237.47900000000001</v>
      </c>
      <c r="AF13" s="2">
        <f>Infill[[#This Row],[Total Time]]/AVERAGEIFS(Infill[Total Time],Infill[Material Usage Icon],_xlfn.XLOOKUP("Normal",Rating[Name],Rating[level-to-worse]))</f>
        <v>0.7875130122351055</v>
      </c>
      <c r="AG13" s="2" t="str">
        <f>_xlfn.XLOOKUP(Infill[[#This Row],[t prom]],Rating[Max %],Rating[Name],,1)</f>
        <v>Normal-Low</v>
      </c>
      <c r="AH13" s="2" t="str">
        <f>_xlfn.XLOOKUP(Infill[[#This Row],[t prom]],Rating[Max %],Rating[level-to-worse],,1)</f>
        <v>![level-to-worse-3](https://github.com/OrcaSlicer/OrcaSlicer_WIKI/blob/main/images/misc/level-to-worse-3.svg?raw=true)</v>
      </c>
      <c r="AI13" s="3">
        <f>Infill[[#This Row],[g]]/Infill[[#This Row],[Total Time]]</f>
        <v>0.627432320331482</v>
      </c>
      <c r="AJ13" s="2">
        <f>Infill[[#This Row],[g/t]]/AVERAGEIFS(Infill[g/t],Infill[Material Usage Icon],_xlfn.XLOOKUP("Normal",Rating[Name],Rating[level-to-worse]))</f>
        <v>1.1426061877699809</v>
      </c>
      <c r="AK13" s="2" t="str">
        <f>_xlfn.XLOOKUP(Infill[[#This Row],[g/t prom]],Rating[Max %],Rating[Name],,1)</f>
        <v>Normal-High</v>
      </c>
      <c r="AL13" s="1" t="str">
        <f>_xlfn.XLOOKUP(Infill[[#This Row],[g/t prom]],Rating[Max %],Rating[level-to-better],,1)</f>
        <v>![level-to-better-5](https://github.com/OrcaSlicer/OrcaSlicer_WIKI/blob/main/images/misc/level-to-better-5.svg?raw=true)</v>
      </c>
      <c r="AM13" s="2" t="str">
        <f>SUBSTITUTE(LOWER(Infill[[#This Row],[name]])," ","-")</f>
        <v>cubic</v>
      </c>
      <c r="AN13" t="str">
        <f>"param_"&amp;Infill[[#This Row],[infill]]</f>
        <v>param_cubic</v>
      </c>
      <c r="AO13" t="str">
        <f>"&lt;img alt=""" &amp; Infill[[#This Row],[SVG]] &amp; """ src=""https://github.com/OrcaSlicer/OrcaSlicer/blob/main/resources/images/" &amp; Infill[[#This Row],[SVG]] &amp; ".svg?raw=true"" height=""45""&gt;"</f>
        <v>&lt;img alt="param_cubic" src="https://github.com/OrcaSlicer/OrcaSlicer/blob/main/resources/images/param_cubic.svg?raw=true" height="45"&gt;</v>
      </c>
      <c r="AP13" s="2" t="str">
        <f>"["&amp;Infill[[#This Row],[name]]&amp;"](#"&amp;Infill[[#This Row],[nameMD]]&amp;")"</f>
        <v>[Cubic](#cubic)</v>
      </c>
      <c r="AQ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![infill-top-cubic](https://github.com/OrcaSlicer/OrcaSlicer_WIKI/blob/main/images/fill/infill-top-cubic.png?raw=true)
</v>
      </c>
      <c r="AS13" t="str">
        <f>IF(OR(Infill[[#This Row],[Is Infill]],Infill[[#This Row],[Is Surface]])," { """&amp;Infill[[#This Row],[infill]]&amp;""", "&amp;Infill[[#This Row],[ip]]&amp;" },","")</f>
        <v xml:space="preserve"> { "cubic", ipCubic },</v>
      </c>
      <c r="AT13" t="str">
        <f>IF(OR(Infill[[#This Row],[Is Infill]],Infill[[#This Row],[Is Surface]]),"def-&gt;enum_values.push_back("""&amp;Infill[[#This Row],[infill]]&amp;""");","")</f>
        <v>def-&gt;enum_values.push_back("cubic");</v>
      </c>
      <c r="AU13" t="str">
        <f>IF(OR(Infill[[#This Row],[Is Infill]],Infill[[#This Row],[Is Surface]]),"def-&gt;enum_labels.push_back(L("""&amp;Infill[[#This Row],[name]]&amp;"""));","")</f>
        <v>def-&gt;enum_labels.push_back(L("Cubic"));</v>
      </c>
      <c r="AW13" t="str">
        <f>Infill[[#This Row],[SVG Link]]</f>
        <v>&lt;img alt="param_cubic" src="https://github.com/OrcaSlicer/OrcaSlicer/blob/main/resources/images/param_cubic.svg?raw=true" height="45"&gt;</v>
      </c>
      <c r="AX13" s="1" t="str">
        <f>"["&amp;Infill[[#This Row],[name]]&amp;"](strength_settings_patterns#"&amp;Infill[[#This Row],[nameMD]]&amp;")"</f>
        <v>[Cubic](strength_settings_patterns#cubic)</v>
      </c>
      <c r="AY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3" s="1" t="str">
        <f>Infill[[#This Row],[Material Usage Icon]]</f>
        <v>![level-to-worse-4](https://github.com/OrcaSlicer/OrcaSlicer_WIKI/blob/main/images/misc/level-to-worse-4.svg?raw=true)</v>
      </c>
      <c r="BA13" s="1" t="str">
        <f>Infill[[#This Row],[Print Time Icon]]</f>
        <v>![level-to-worse-3](https://github.com/OrcaSlicer/OrcaSlicer_WIKI/blob/main/images/misc/level-to-worse-3.svg?raw=true)</v>
      </c>
      <c r="BB13" t="str">
        <f ca="1">Infill[[#This Row],[Layer time Variability Icon]]</f>
        <v>![level-to-worse-2](https://github.com/OrcaSlicer/OrcaSlicer_WIKI/blob/main/images/misc/level-to-worse-2.svg?raw=true)</v>
      </c>
      <c r="BC13" s="1" t="str">
        <f>Infill[[#This Row],[Multiline]]</f>
        <v>[Non-Crossing](strength_settings_infill#non-crossing-strategy)</v>
      </c>
    </row>
    <row r="14" spans="1:55" ht="300" x14ac:dyDescent="0.25">
      <c r="E14">
        <v>12</v>
      </c>
      <c r="F14" t="b">
        <v>1</v>
      </c>
      <c r="G14" t="b">
        <v>0</v>
      </c>
      <c r="H14" t="b">
        <v>0</v>
      </c>
      <c r="I14" t="s">
        <v>10</v>
      </c>
      <c r="J14" t="s">
        <v>4</v>
      </c>
      <c r="K14" t="s">
        <v>97</v>
      </c>
      <c r="L14" t="s">
        <v>126</v>
      </c>
      <c r="M14" t="s">
        <v>218</v>
      </c>
      <c r="N14" t="s">
        <v>216</v>
      </c>
      <c r="O14" t="s">
        <v>216</v>
      </c>
      <c r="P14" s="6" t="s">
        <v>58</v>
      </c>
      <c r="Q14">
        <v>5</v>
      </c>
      <c r="R14" t="str">
        <f>_xlfn.XLOOKUP(Infill[[#This Row],[XY-N]],Rating[N],Rating[Name])</f>
        <v>Normal-High</v>
      </c>
      <c r="S14" t="str">
        <f>_xlfn.XLOOKUP(Infill[[#This Row],[XY-N]],Rating[N],Rating[level-to-better])</f>
        <v>![level-to-better-5](https://github.com/OrcaSlicer/OrcaSlicer_WIKI/blob/main/images/misc/level-to-better-5.svg?raw=true)</v>
      </c>
      <c r="T14">
        <v>5</v>
      </c>
      <c r="U14" t="str">
        <f>_xlfn.XLOOKUP(Infill[[#This Row],[Z-N]],Rating[N],Rating[Name])</f>
        <v>Normal-High</v>
      </c>
      <c r="V14" t="str">
        <f>_xlfn.XLOOKUP(Infill[[#This Row],[Z-N]],Rating[N],Rating[level-to-better])</f>
        <v>![level-to-better-5](https://github.com/OrcaSlicer/OrcaSlicer_WIKI/blob/main/images/misc/level-to-better-5.svg?raw=true)</v>
      </c>
      <c r="W14" s="11">
        <f ca="1">_xlfn.XLOOKUP(Infill[[#This Row],[infill]],Tabla7[infill],Tabla7[% 2 Sigma])</f>
        <v>0.16363163436614259</v>
      </c>
      <c r="X14" t="str">
        <f ca="1">_xlfn.XLOOKUP(Infill[[#This Row],[% 2 Sigma]],AbsRating[Max %],AbsRating[Name],,1)</f>
        <v>Unnoticeable</v>
      </c>
      <c r="Y14" t="str">
        <f ca="1">_xlfn.XLOOKUP(Infill[[#This Row],[% 2 Sigma]],AbsRating[Max %],AbsRating[icon],,1)</f>
        <v>![level-to-worse-2](https://github.com/OrcaSlicer/OrcaSlicer_WIKI/blob/main/images/misc/level-to-worse-2.svg?raw=true)</v>
      </c>
      <c r="Z14" s="2" t="s">
        <v>73</v>
      </c>
      <c r="AA14">
        <f>_xlfn.XLOOKUP(Infill[[#This Row],[infill]],Tabla7[infill],Tabla7[g])</f>
        <v>95.183000000000007</v>
      </c>
      <c r="AB14" s="2">
        <f>Infill[[#This Row],[g]]/(997.25*0.15)</f>
        <v>0.63630316704270073</v>
      </c>
      <c r="AC14" s="2" t="str">
        <f>_xlfn.XLOOKUP(Infill[[#This Row],[% Effective]],Rating[Max %],Rating[Name],,1)</f>
        <v>Low</v>
      </c>
      <c r="AD14" s="2" t="str">
        <f>_xlfn.XLOOKUP(Infill[[#This Row],[% Effective]],Rating[Max %],Rating[level-to-worse],,1)</f>
        <v>![level-to-worse-2](https://github.com/OrcaSlicer/OrcaSlicer_WIKI/blob/main/images/misc/level-to-worse-2.svg?raw=true)</v>
      </c>
      <c r="AE14">
        <f>_xlfn.XLOOKUP(Infill[[#This Row],[infill]],Tabla7[infill],Tabla7[Total Time])</f>
        <v>163.452</v>
      </c>
      <c r="AF14" s="2">
        <f>Infill[[#This Row],[Total Time]]/AVERAGEIFS(Infill[Total Time],Infill[Material Usage Icon],_xlfn.XLOOKUP("Normal",Rating[Name],Rating[level-to-worse]))</f>
        <v>0.54202930312091779</v>
      </c>
      <c r="AG14" s="2" t="str">
        <f>_xlfn.XLOOKUP(Infill[[#This Row],[t prom]],Rating[Max %],Rating[Name],,1)</f>
        <v>Low</v>
      </c>
      <c r="AH14" s="2" t="str">
        <f>_xlfn.XLOOKUP(Infill[[#This Row],[t prom]],Rating[Max %],Rating[level-to-worse],,1)</f>
        <v>![level-to-worse-2](https://github.com/OrcaSlicer/OrcaSlicer_WIKI/blob/main/images/misc/level-to-worse-2.svg?raw=true)</v>
      </c>
      <c r="AI14" s="3">
        <f>Infill[[#This Row],[g]]/Infill[[#This Row],[Total Time]]</f>
        <v>0.58232998066710717</v>
      </c>
      <c r="AJ14" s="2">
        <f>Infill[[#This Row],[g/t]]/AVERAGEIFS(Infill[g/t],Infill[Material Usage Icon],_xlfn.XLOOKUP("Normal",Rating[Name],Rating[level-to-worse]))</f>
        <v>1.0604710941296154</v>
      </c>
      <c r="AK14" s="2" t="str">
        <f>_xlfn.XLOOKUP(Infill[[#This Row],[g/t prom]],Rating[Max %],Rating[Name],,1)</f>
        <v>Normal</v>
      </c>
      <c r="AL14" s="1" t="str">
        <f>_xlfn.XLOOKUP(Infill[[#This Row],[g/t prom]],Rating[Max %],Rating[level-to-better],,1)</f>
        <v>![level-to-better-4](https://github.com/OrcaSlicer/OrcaSlicer_WIKI/blob/main/images/misc/level-to-better-4.svg?raw=true)</v>
      </c>
      <c r="AM14" s="2" t="str">
        <f>SUBSTITUTE(LOWER(Infill[[#This Row],[name]])," ","-")</f>
        <v>adaptive-cubic</v>
      </c>
      <c r="AN14" t="str">
        <f>"param_"&amp;Infill[[#This Row],[infill]]</f>
        <v>param_adaptivecubic</v>
      </c>
      <c r="AO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P14" s="2" t="str">
        <f>"["&amp;Infill[[#This Row],[name]]&amp;"](#"&amp;Infill[[#This Row],[nameMD]]&amp;")"</f>
        <v>[Adaptive Cubic](#adaptive-cubic)</v>
      </c>
      <c r="AQ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![infill-top-adaptive-cubic](https://github.com/OrcaSlicer/OrcaSlicer_WIKI/blob/main/images/fill/infill-top-adaptive-cubic.png?raw=true)
</v>
      </c>
      <c r="AS14" t="str">
        <f>IF(OR(Infill[[#This Row],[Is Infill]],Infill[[#This Row],[Is Surface]])," { """&amp;Infill[[#This Row],[infill]]&amp;""", "&amp;Infill[[#This Row],[ip]]&amp;" },","")</f>
        <v xml:space="preserve"> { "adaptivecubic", ipAdaptiveCubic },</v>
      </c>
      <c r="AT14" t="str">
        <f>IF(OR(Infill[[#This Row],[Is Infill]],Infill[[#This Row],[Is Surface]]),"def-&gt;enum_values.push_back("""&amp;Infill[[#This Row],[infill]]&amp;""");","")</f>
        <v>def-&gt;enum_values.push_back("adaptivecubic");</v>
      </c>
      <c r="AU14" t="str">
        <f>IF(OR(Infill[[#This Row],[Is Infill]],Infill[[#This Row],[Is Surface]]),"def-&gt;enum_labels.push_back(L("""&amp;Infill[[#This Row],[name]]&amp;"""));","")</f>
        <v>def-&gt;enum_labels.push_back(L("Adaptive Cubic"));</v>
      </c>
      <c r="AW14" t="str">
        <f>Infill[[#This Row],[SVG Link]]</f>
        <v>&lt;img alt="param_adaptivecubic" src="https://github.com/OrcaSlicer/OrcaSlicer/blob/main/resources/images/param_adaptivecubic.svg?raw=true" height="45"&gt;</v>
      </c>
      <c r="AX14" s="1" t="str">
        <f>"["&amp;Infill[[#This Row],[name]]&amp;"](strength_settings_patterns#"&amp;Infill[[#This Row],[nameMD]]&amp;")"</f>
        <v>[Adaptive Cubic](strength_settings_patterns#adaptive-cubic)</v>
      </c>
      <c r="AY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4" s="1" t="str">
        <f>Infill[[#This Row],[Material Usage Icon]]</f>
        <v>![level-to-worse-2](https://github.com/OrcaSlicer/OrcaSlicer_WIKI/blob/main/images/misc/level-to-worse-2.svg?raw=true)</v>
      </c>
      <c r="BA14" s="1" t="str">
        <f>Infill[[#This Row],[Print Time Icon]]</f>
        <v>![level-to-worse-2](https://github.com/OrcaSlicer/OrcaSlicer_WIKI/blob/main/images/misc/level-to-worse-2.svg?raw=true)</v>
      </c>
      <c r="BB14" t="str">
        <f ca="1">Infill[[#This Row],[Layer time Variability Icon]]</f>
        <v>![level-to-worse-2](https://github.com/OrcaSlicer/OrcaSlicer_WIKI/blob/main/images/misc/level-to-worse-2.svg?raw=true)</v>
      </c>
      <c r="BC14" s="1" t="str">
        <f>Infill[[#This Row],[Multiline]]</f>
        <v>[Non-Crossing](strength_settings_infill#non-crossing-strategy)</v>
      </c>
    </row>
    <row r="15" spans="1:55" ht="300" x14ac:dyDescent="0.25">
      <c r="E15">
        <v>13</v>
      </c>
      <c r="F15" t="b">
        <v>1</v>
      </c>
      <c r="G15" t="b">
        <v>0</v>
      </c>
      <c r="H15" t="b">
        <v>0</v>
      </c>
      <c r="I15" t="s">
        <v>38</v>
      </c>
      <c r="J15" t="s">
        <v>4</v>
      </c>
      <c r="K15" t="s">
        <v>110</v>
      </c>
      <c r="L15" t="s">
        <v>135</v>
      </c>
      <c r="M15" t="s">
        <v>217</v>
      </c>
      <c r="N15" t="s">
        <v>216</v>
      </c>
      <c r="O15" t="s">
        <v>216</v>
      </c>
      <c r="P15" s="6" t="s">
        <v>62</v>
      </c>
      <c r="Q15">
        <v>6</v>
      </c>
      <c r="R15" t="str">
        <f>_xlfn.XLOOKUP(Infill[[#This Row],[XY-N]],Rating[N],Rating[Name])</f>
        <v>High</v>
      </c>
      <c r="S15" t="str">
        <f>_xlfn.XLOOKUP(Infill[[#This Row],[XY-N]],Rating[N],Rating[level-to-better])</f>
        <v>![level-to-better-6](https://github.com/OrcaSlicer/OrcaSlicer_WIKI/blob/main/images/misc/level-to-better-6.svg?raw=true)</v>
      </c>
      <c r="T15">
        <v>6</v>
      </c>
      <c r="U15" t="str">
        <f>_xlfn.XLOOKUP(Infill[[#This Row],[Z-N]],Rating[N],Rating[Name])</f>
        <v>High</v>
      </c>
      <c r="V15" t="str">
        <f>_xlfn.XLOOKUP(Infill[[#This Row],[Z-N]],Rating[N],Rating[level-to-better])</f>
        <v>![level-to-better-6](https://github.com/OrcaSlicer/OrcaSlicer_WIKI/blob/main/images/misc/level-to-better-6.svg?raw=true)</v>
      </c>
      <c r="W15" s="11">
        <f ca="1">_xlfn.XLOOKUP(Infill[[#This Row],[infill]],Tabla7[infill],Tabla7[% 2 Sigma])</f>
        <v>3.4570182396706839E-2</v>
      </c>
      <c r="X15" t="str">
        <f ca="1">_xlfn.XLOOKUP(Infill[[#This Row],[% 2 Sigma]],AbsRating[Max %],AbsRating[Name],,1)</f>
        <v>Unnoticeable</v>
      </c>
      <c r="Y15" t="str">
        <f ca="1">_xlfn.XLOOKUP(Infill[[#This Row],[% 2 Sigma]],AbsRating[Max %],AbsRating[icon],,1)</f>
        <v>![level-to-worse-2](https://github.com/OrcaSlicer/OrcaSlicer_WIKI/blob/main/images/misc/level-to-worse-2.svg?raw=true)</v>
      </c>
      <c r="Z15" s="2" t="s">
        <v>72</v>
      </c>
      <c r="AA15">
        <f>_xlfn.XLOOKUP(Infill[[#This Row],[infill]],Tabla7[infill],Tabla7[g])</f>
        <v>149.02099999999999</v>
      </c>
      <c r="AB15" s="2">
        <f>Infill[[#This Row],[g]]/(997.25*0.15)</f>
        <v>0.9962129188601988</v>
      </c>
      <c r="AC15" s="2" t="str">
        <f>_xlfn.XLOOKUP(Infill[[#This Row],[% Effective]],Rating[Max %],Rating[Name],,1)</f>
        <v>Normal</v>
      </c>
      <c r="AD15" s="2" t="str">
        <f>_xlfn.XLOOKUP(Infill[[#This Row],[% Effective]],Rating[Max %],Rating[level-to-worse],,1)</f>
        <v>![level-to-worse-4](https://github.com/OrcaSlicer/OrcaSlicer_WIKI/blob/main/images/misc/level-to-worse-4.svg?raw=true)</v>
      </c>
      <c r="AE15">
        <f>_xlfn.XLOOKUP(Infill[[#This Row],[infill]],Tabla7[infill],Tabla7[Total Time])</f>
        <v>240.721</v>
      </c>
      <c r="AF15" s="2">
        <f>Infill[[#This Row],[Total Time]]/AVERAGEIFS(Infill[Total Time],Infill[Material Usage Icon],_xlfn.XLOOKUP("Normal",Rating[Name],Rating[level-to-worse]))</f>
        <v>0.79826392994010764</v>
      </c>
      <c r="AG15" s="2" t="str">
        <f>_xlfn.XLOOKUP(Infill[[#This Row],[t prom]],Rating[Max %],Rating[Name],,1)</f>
        <v>Normal-Low</v>
      </c>
      <c r="AH15" s="2" t="str">
        <f>_xlfn.XLOOKUP(Infill[[#This Row],[t prom]],Rating[Max %],Rating[level-to-worse],,1)</f>
        <v>![level-to-worse-3](https://github.com/OrcaSlicer/OrcaSlicer_WIKI/blob/main/images/misc/level-to-worse-3.svg?raw=true)</v>
      </c>
      <c r="AI15" s="3">
        <f>Infill[[#This Row],[g]]/Infill[[#This Row],[Total Time]]</f>
        <v>0.61906107070010508</v>
      </c>
      <c r="AJ15" s="2">
        <f>Infill[[#This Row],[g/t]]/AVERAGEIFS(Infill[g/t],Infill[Material Usage Icon],_xlfn.XLOOKUP("Normal",Rating[Name],Rating[level-to-worse]))</f>
        <v>1.1273614493046034</v>
      </c>
      <c r="AK15" s="2" t="str">
        <f>_xlfn.XLOOKUP(Infill[[#This Row],[g/t prom]],Rating[Max %],Rating[Name],,1)</f>
        <v>Normal-High</v>
      </c>
      <c r="AL15" s="1" t="str">
        <f>_xlfn.XLOOKUP(Infill[[#This Row],[g/t prom]],Rating[Max %],Rating[level-to-better],,1)</f>
        <v>![level-to-better-5](https://github.com/OrcaSlicer/OrcaSlicer_WIKI/blob/main/images/misc/level-to-better-5.svg?raw=true)</v>
      </c>
      <c r="AM15" s="2" t="str">
        <f>SUBSTITUTE(LOWER(Infill[[#This Row],[name]])," ","-")</f>
        <v>quarter-cubic</v>
      </c>
      <c r="AN15" t="str">
        <f>"param_"&amp;Infill[[#This Row],[infill]]</f>
        <v>param_quartercubic</v>
      </c>
      <c r="AO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P15" s="2" t="str">
        <f>"["&amp;Infill[[#This Row],[name]]&amp;"](#"&amp;Infill[[#This Row],[nameMD]]&amp;")"</f>
        <v>[Quarter Cubic](#quarter-cubic)</v>
      </c>
      <c r="AQ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![infill-top-quarter-cubic](https://github.com/OrcaSlicer/OrcaSlicer_WIKI/blob/main/images/fill/infill-top-quarter-cubic.png?raw=true)
</v>
      </c>
      <c r="AS15" t="str">
        <f>IF(OR(Infill[[#This Row],[Is Infill]],Infill[[#This Row],[Is Surface]])," { """&amp;Infill[[#This Row],[infill]]&amp;""", "&amp;Infill[[#This Row],[ip]]&amp;" },","")</f>
        <v xml:space="preserve"> { "quartercubic", ipQuarterCubic },</v>
      </c>
      <c r="AT15" t="str">
        <f>IF(OR(Infill[[#This Row],[Is Infill]],Infill[[#This Row],[Is Surface]]),"def-&gt;enum_values.push_back("""&amp;Infill[[#This Row],[infill]]&amp;""");","")</f>
        <v>def-&gt;enum_values.push_back("quartercubic");</v>
      </c>
      <c r="AU15" t="str">
        <f>IF(OR(Infill[[#This Row],[Is Infill]],Infill[[#This Row],[Is Surface]]),"def-&gt;enum_labels.push_back(L("""&amp;Infill[[#This Row],[name]]&amp;"""));","")</f>
        <v>def-&gt;enum_labels.push_back(L("Quarter Cubic"));</v>
      </c>
      <c r="AW15" t="str">
        <f>Infill[[#This Row],[SVG Link]]</f>
        <v>&lt;img alt="param_quartercubic" src="https://github.com/OrcaSlicer/OrcaSlicer/blob/main/resources/images/param_quartercubic.svg?raw=true" height="45"&gt;</v>
      </c>
      <c r="AX15" s="1" t="str">
        <f>"["&amp;Infill[[#This Row],[name]]&amp;"](strength_settings_patterns#"&amp;Infill[[#This Row],[nameMD]]&amp;")"</f>
        <v>[Quarter Cubic](strength_settings_patterns#quarter-cubic)</v>
      </c>
      <c r="AY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5" s="1" t="str">
        <f>Infill[[#This Row],[Material Usage Icon]]</f>
        <v>![level-to-worse-4](https://github.com/OrcaSlicer/OrcaSlicer_WIKI/blob/main/images/misc/level-to-worse-4.svg?raw=true)</v>
      </c>
      <c r="BA15" s="1" t="str">
        <f>Infill[[#This Row],[Print Time Icon]]</f>
        <v>![level-to-worse-3](https://github.com/OrcaSlicer/OrcaSlicer_WIKI/blob/main/images/misc/level-to-worse-3.svg?raw=true)</v>
      </c>
      <c r="BB15" t="str">
        <f ca="1">Infill[[#This Row],[Layer time Variability Icon]]</f>
        <v>![level-to-worse-2](https://github.com/OrcaSlicer/OrcaSlicer_WIKI/blob/main/images/misc/level-to-worse-2.svg?raw=true)</v>
      </c>
      <c r="BC15" s="1" t="str">
        <f>Infill[[#This Row],[Multiline]]</f>
        <v>[Classic](strength_settings_infill#classic-strategy)</v>
      </c>
    </row>
    <row r="16" spans="1:55" ht="300" x14ac:dyDescent="0.25">
      <c r="E16">
        <v>14</v>
      </c>
      <c r="F16" t="b">
        <v>1</v>
      </c>
      <c r="G16" t="b">
        <v>0</v>
      </c>
      <c r="H16" t="b">
        <v>0</v>
      </c>
      <c r="I16" t="s">
        <v>16</v>
      </c>
      <c r="J16" t="s">
        <v>156</v>
      </c>
      <c r="K16" t="s">
        <v>105</v>
      </c>
      <c r="L16" t="s">
        <v>132</v>
      </c>
      <c r="M16" t="s">
        <v>218</v>
      </c>
      <c r="N16" t="s">
        <v>216</v>
      </c>
      <c r="O16" t="s">
        <v>216</v>
      </c>
      <c r="P16" s="6" t="s">
        <v>61</v>
      </c>
      <c r="Q16">
        <v>2</v>
      </c>
      <c r="R16" t="str">
        <f>_xlfn.XLOOKUP(Infill[[#This Row],[XY-N]],Rating[N],Rating[Name])</f>
        <v>Low</v>
      </c>
      <c r="S16" t="str">
        <f>_xlfn.XLOOKUP(Infill[[#This Row],[XY-N]],Rating[N],Rating[level-to-better])</f>
        <v>![level-to-better-2](https://github.com/OrcaSlicer/OrcaSlicer_WIKI/blob/main/images/misc/level-to-better-2.svg?raw=true)</v>
      </c>
      <c r="T16">
        <v>2</v>
      </c>
      <c r="U16" t="str">
        <f>_xlfn.XLOOKUP(Infill[[#This Row],[Z-N]],Rating[N],Rating[Name])</f>
        <v>Low</v>
      </c>
      <c r="V16" t="str">
        <f>_xlfn.XLOOKUP(Infill[[#This Row],[Z-N]],Rating[N],Rating[level-to-better])</f>
        <v>![level-to-better-2](https://github.com/OrcaSlicer/OrcaSlicer_WIKI/blob/main/images/misc/level-to-better-2.svg?raw=true)</v>
      </c>
      <c r="W16" s="11">
        <f ca="1">_xlfn.XLOOKUP(Infill[[#This Row],[infill]],Tabla7[infill],Tabla7[% 2 Sigma])</f>
        <v>0.92158266936179833</v>
      </c>
      <c r="X16" t="str">
        <f ca="1">_xlfn.XLOOKUP(Infill[[#This Row],[% 2 Sigma]],AbsRating[Max %],AbsRating[Name],,1)</f>
        <v>Likely Noticeable</v>
      </c>
      <c r="Y16" t="str">
        <f ca="1">_xlfn.XLOOKUP(Infill[[#This Row],[% 2 Sigma]],AbsRating[Max %],AbsRating[icon],,1)</f>
        <v>![level-to-worse-8](https://github.com/OrcaSlicer/OrcaSlicer_WIKI/blob/main/images/misc/level-to-worse-8.svg?raw=true)</v>
      </c>
      <c r="Z16" s="2" t="s">
        <v>74</v>
      </c>
      <c r="AA16">
        <f>_xlfn.XLOOKUP(Infill[[#This Row],[infill]],Tabla7[infill],Tabla7[g])</f>
        <v>38.832999999999998</v>
      </c>
      <c r="AB16" s="2">
        <f>Infill[[#This Row],[g]]/(997.25*0.15)</f>
        <v>0.25960056822929722</v>
      </c>
      <c r="AC16" s="2" t="str">
        <f>_xlfn.XLOOKUP(Infill[[#This Row],[% Effective]],Rating[Max %],Rating[Name],,1)</f>
        <v>Extra-Low</v>
      </c>
      <c r="AD16" s="2" t="str">
        <f>_xlfn.XLOOKUP(Infill[[#This Row],[% Effective]],Rating[Max %],Rating[level-to-worse],,1)</f>
        <v>![level-to-worse-1](https://github.com/OrcaSlicer/OrcaSlicer_WIKI/blob/main/images/misc/level-to-worse-1.svg?raw=true)</v>
      </c>
      <c r="AE16">
        <f>_xlfn.XLOOKUP(Infill[[#This Row],[infill]],Tabla7[infill],Tabla7[Total Time])</f>
        <v>96.709000000000003</v>
      </c>
      <c r="AF16" s="2">
        <f>Infill[[#This Row],[Total Time]]/AVERAGEIFS(Infill[Total Time],Infill[Material Usage Icon],_xlfn.XLOOKUP("Normal",Rating[Name],Rating[level-to-worse]))</f>
        <v>0.32070033939946191</v>
      </c>
      <c r="AG16" s="2" t="str">
        <f>_xlfn.XLOOKUP(Infill[[#This Row],[t prom]],Rating[Max %],Rating[Name],,1)</f>
        <v>Extra-Low</v>
      </c>
      <c r="AH16" s="2" t="str">
        <f>_xlfn.XLOOKUP(Infill[[#This Row],[t prom]],Rating[Max %],Rating[level-to-worse],,1)</f>
        <v>![level-to-worse-1](https://github.com/OrcaSlicer/OrcaSlicer_WIKI/blob/main/images/misc/level-to-worse-1.svg?raw=true)</v>
      </c>
      <c r="AI16" s="3">
        <f>Infill[[#This Row],[g]]/Infill[[#This Row],[Total Time]]</f>
        <v>0.40154484070769003</v>
      </c>
      <c r="AJ16" s="2">
        <f>Infill[[#This Row],[g/t]]/AVERAGEIFS(Infill[g/t],Infill[Material Usage Icon],_xlfn.XLOOKUP("Normal",Rating[Name],Rating[level-to-worse]))</f>
        <v>0.73124639071401831</v>
      </c>
      <c r="AK16" s="2" t="str">
        <f>_xlfn.XLOOKUP(Infill[[#This Row],[g/t prom]],Rating[Max %],Rating[Name],,1)</f>
        <v>Low</v>
      </c>
      <c r="AL16" s="1" t="str">
        <f>_xlfn.XLOOKUP(Infill[[#This Row],[g/t prom]],Rating[Max %],Rating[level-to-better],,1)</f>
        <v>![level-to-better-2](https://github.com/OrcaSlicer/OrcaSlicer_WIKI/blob/main/images/misc/level-to-better-2.svg?raw=true)</v>
      </c>
      <c r="AM16" s="2" t="str">
        <f>SUBSTITUTE(LOWER(Infill[[#This Row],[name]])," ","-")</f>
        <v>support-cubic</v>
      </c>
      <c r="AN16" t="str">
        <f>"param_"&amp;Infill[[#This Row],[infill]]</f>
        <v>param_supportcubic</v>
      </c>
      <c r="AO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P16" s="2" t="str">
        <f>"["&amp;Infill[[#This Row],[name]]&amp;"](#"&amp;Infill[[#This Row],[nameMD]]&amp;")"</f>
        <v>[Support Cubic](#support-cubic)</v>
      </c>
      <c r="AQ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![infill-top-support-cubic](https://github.com/OrcaSlicer/OrcaSlicer_WIKI/blob/main/images/fill/infill-top-support-cubic.png?raw=true)
</v>
      </c>
      <c r="AS16" t="str">
        <f>IF(OR(Infill[[#This Row],[Is Infill]],Infill[[#This Row],[Is Surface]])," { """&amp;Infill[[#This Row],[infill]]&amp;""", "&amp;Infill[[#This Row],[ip]]&amp;" },","")</f>
        <v xml:space="preserve"> { "supportcubic", ipSupportCubic },</v>
      </c>
      <c r="AT16" t="str">
        <f>IF(OR(Infill[[#This Row],[Is Infill]],Infill[[#This Row],[Is Surface]]),"def-&gt;enum_values.push_back("""&amp;Infill[[#This Row],[infill]]&amp;""");","")</f>
        <v>def-&gt;enum_values.push_back("supportcubic");</v>
      </c>
      <c r="AU16" t="str">
        <f>IF(OR(Infill[[#This Row],[Is Infill]],Infill[[#This Row],[Is Surface]]),"def-&gt;enum_labels.push_back(L("""&amp;Infill[[#This Row],[name]]&amp;"""));","")</f>
        <v>def-&gt;enum_labels.push_back(L("Support Cubic"));</v>
      </c>
      <c r="AW16" t="str">
        <f>Infill[[#This Row],[SVG Link]]</f>
        <v>&lt;img alt="param_supportcubic" src="https://github.com/OrcaSlicer/OrcaSlicer/blob/main/resources/images/param_supportcubic.svg?raw=true" height="45"&gt;</v>
      </c>
      <c r="AX16" s="1" t="str">
        <f>"["&amp;Infill[[#This Row],[name]]&amp;"](strength_settings_patterns#"&amp;Infill[[#This Row],[nameMD]]&amp;")"</f>
        <v>[Support Cubic](strength_settings_patterns#support-cubic)</v>
      </c>
      <c r="AY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6" s="1" t="str">
        <f>Infill[[#This Row],[Material Usage Icon]]</f>
        <v>![level-to-worse-1](https://github.com/OrcaSlicer/OrcaSlicer_WIKI/blob/main/images/misc/level-to-worse-1.svg?raw=true)</v>
      </c>
      <c r="BA16" s="1" t="str">
        <f>Infill[[#This Row],[Print Time Icon]]</f>
        <v>![level-to-worse-1](https://github.com/OrcaSlicer/OrcaSlicer_WIKI/blob/main/images/misc/level-to-worse-1.svg?raw=true)</v>
      </c>
      <c r="BB16" t="str">
        <f ca="1">Infill[[#This Row],[Layer time Variability Icon]]</f>
        <v>![level-to-worse-8](https://github.com/OrcaSlicer/OrcaSlicer_WIKI/blob/main/images/misc/level-to-worse-8.svg?raw=true)</v>
      </c>
      <c r="BC16" s="1" t="str">
        <f>Infill[[#This Row],[Multiline]]</f>
        <v>[Non-Crossing](strength_settings_infill#non-crossing-strategy)</v>
      </c>
    </row>
    <row r="17" spans="2:55" ht="409.5" x14ac:dyDescent="0.25">
      <c r="E17">
        <v>15</v>
      </c>
      <c r="F17" t="b">
        <v>1</v>
      </c>
      <c r="G17" t="b">
        <v>0</v>
      </c>
      <c r="H17" t="b">
        <v>0</v>
      </c>
      <c r="I17" t="s">
        <v>17</v>
      </c>
      <c r="J17" t="s">
        <v>153</v>
      </c>
      <c r="K17" t="s">
        <v>108</v>
      </c>
      <c r="L17" t="s">
        <v>133</v>
      </c>
      <c r="M17" t="s">
        <v>217</v>
      </c>
      <c r="N17" t="s">
        <v>216</v>
      </c>
      <c r="O17" t="s">
        <v>243</v>
      </c>
      <c r="P17" s="6" t="s">
        <v>245</v>
      </c>
      <c r="Q17">
        <v>2</v>
      </c>
      <c r="R17" t="str">
        <f>_xlfn.XLOOKUP(Infill[[#This Row],[XY-N]],Rating[N],Rating[Name])</f>
        <v>Low</v>
      </c>
      <c r="S17" t="str">
        <f>_xlfn.XLOOKUP(Infill[[#This Row],[XY-N]],Rating[N],Rating[level-to-better])</f>
        <v>![level-to-better-2](https://github.com/OrcaSlicer/OrcaSlicer_WIKI/blob/main/images/misc/level-to-better-2.svg?raw=true)</v>
      </c>
      <c r="T17">
        <v>2</v>
      </c>
      <c r="U17" t="str">
        <f>_xlfn.XLOOKUP(Infill[[#This Row],[Z-N]],Rating[N],Rating[Name])</f>
        <v>Low</v>
      </c>
      <c r="V17" t="str">
        <f>_xlfn.XLOOKUP(Infill[[#This Row],[Z-N]],Rating[N],Rating[level-to-better])</f>
        <v>![level-to-better-2](https://github.com/OrcaSlicer/OrcaSlicer_WIKI/blob/main/images/misc/level-to-better-2.svg?raw=true)</v>
      </c>
      <c r="W17" s="11">
        <f ca="1">_xlfn.XLOOKUP(Infill[[#This Row],[infill]],Tabla7[infill],Tabla7[% 2 Sigma])</f>
        <v>2.4741123157182763</v>
      </c>
      <c r="X17" t="str">
        <f ca="1">_xlfn.XLOOKUP(Infill[[#This Row],[% 2 Sigma]],AbsRating[Max %],AbsRating[Name],,1)</f>
        <v>Likely Noticeable</v>
      </c>
      <c r="Y17" t="str">
        <f ca="1">_xlfn.XLOOKUP(Infill[[#This Row],[% 2 Sigma]],AbsRating[Max %],AbsRating[icon],,1)</f>
        <v>![level-to-worse-8](https://github.com/OrcaSlicer/OrcaSlicer_WIKI/blob/main/images/misc/level-to-worse-8.svg?raw=true)</v>
      </c>
      <c r="Z17" s="2" t="s">
        <v>74</v>
      </c>
      <c r="AA17">
        <f>_xlfn.XLOOKUP(Infill[[#This Row],[infill]],Tabla7[infill],Tabla7[g])</f>
        <v>17.704999999999998</v>
      </c>
      <c r="AB17" s="2">
        <f>Infill[[#This Row],[g]]/(997.25*0.15)</f>
        <v>0.1183588200885769</v>
      </c>
      <c r="AC17" s="2" t="str">
        <f>_xlfn.XLOOKUP(Infill[[#This Row],[% Effective]],Rating[Max %],Rating[Name],,1)</f>
        <v>Ultra-Low</v>
      </c>
      <c r="AD17" s="2" t="str">
        <f>_xlfn.XLOOKUP(Infill[[#This Row],[% Effective]],Rating[Max %],Rating[level-to-worse],,1)</f>
        <v>![level-to-worse-0](https://github.com/OrcaSlicer/OrcaSlicer_WIKI/blob/main/images/misc/level-to-worse-0.svg?raw=true)</v>
      </c>
      <c r="AE17">
        <f>_xlfn.XLOOKUP(Infill[[#This Row],[infill]],Tabla7[infill],Tabla7[Total Time])</f>
        <v>37.844999999999999</v>
      </c>
      <c r="AF17" s="2">
        <f>Infill[[#This Row],[Total Time]]/AVERAGEIFS(Infill[Total Time],Infill[Material Usage Icon],_xlfn.XLOOKUP("Normal",Rating[Name],Rating[level-to-worse]))</f>
        <v>0.12549922287039092</v>
      </c>
      <c r="AG17" s="2" t="str">
        <f>_xlfn.XLOOKUP(Infill[[#This Row],[t prom]],Rating[Max %],Rating[Name],,1)</f>
        <v>Ultra-Low</v>
      </c>
      <c r="AH17" s="2" t="str">
        <f>_xlfn.XLOOKUP(Infill[[#This Row],[t prom]],Rating[Max %],Rating[level-to-worse],,1)</f>
        <v>![level-to-worse-0](https://github.com/OrcaSlicer/OrcaSlicer_WIKI/blob/main/images/misc/level-to-worse-0.svg?raw=true)</v>
      </c>
      <c r="AI17" s="3">
        <f>Infill[[#This Row],[g]]/Infill[[#This Row],[Total Time]]</f>
        <v>0.46782930373893511</v>
      </c>
      <c r="AJ17" s="2">
        <f>Infill[[#This Row],[g/t]]/AVERAGEIFS(Infill[g/t],Infill[Material Usage Icon],_xlfn.XLOOKUP("Normal",Rating[Name],Rating[level-to-worse]))</f>
        <v>0.85195588424552482</v>
      </c>
      <c r="AK17" s="2" t="str">
        <f>_xlfn.XLOOKUP(Infill[[#This Row],[g/t prom]],Rating[Max %],Rating[Name],,1)</f>
        <v>Normal-Low</v>
      </c>
      <c r="AL17" s="1" t="str">
        <f>_xlfn.XLOOKUP(Infill[[#This Row],[g/t prom]],Rating[Max %],Rating[level-to-better],,1)</f>
        <v>![level-to-better-3](https://github.com/OrcaSlicer/OrcaSlicer_WIKI/blob/main/images/misc/level-to-better-3.svg?raw=true)</v>
      </c>
      <c r="AM17" s="2" t="str">
        <f>SUBSTITUTE(LOWER(Infill[[#This Row],[name]])," ","-")</f>
        <v>lightning</v>
      </c>
      <c r="AN17" t="str">
        <f>"param_"&amp;Infill[[#This Row],[infill]]</f>
        <v>param_lightning</v>
      </c>
      <c r="AO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P17" s="2" t="str">
        <f>"["&amp;Infill[[#This Row],[name]]&amp;"](#"&amp;Infill[[#This Row],[nameMD]]&amp;")"</f>
        <v>[Lightning](#lightning)</v>
      </c>
      <c r="AQ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![infill-top-lightning](https://github.com/OrcaSlicer/OrcaSlicer_WIKI/blob/main/images/fill/infill-top-lightning.png?raw=true)
</v>
      </c>
      <c r="AS17" t="str">
        <f>IF(OR(Infill[[#This Row],[Is Infill]],Infill[[#This Row],[Is Surface]])," { """&amp;Infill[[#This Row],[infill]]&amp;""", "&amp;Infill[[#This Row],[ip]]&amp;" },","")</f>
        <v xml:space="preserve"> { "lightning", ipLightning },</v>
      </c>
      <c r="AT17" t="str">
        <f>IF(OR(Infill[[#This Row],[Is Infill]],Infill[[#This Row],[Is Surface]]),"def-&gt;enum_values.push_back("""&amp;Infill[[#This Row],[infill]]&amp;""");","")</f>
        <v>def-&gt;enum_values.push_back("lightning");</v>
      </c>
      <c r="AU17" t="str">
        <f>IF(OR(Infill[[#This Row],[Is Infill]],Infill[[#This Row],[Is Surface]]),"def-&gt;enum_labels.push_back(L("""&amp;Infill[[#This Row],[name]]&amp;"""));","")</f>
        <v>def-&gt;enum_labels.push_back(L("Lightning"));</v>
      </c>
      <c r="AW17" t="str">
        <f>Infill[[#This Row],[SVG Link]]</f>
        <v>&lt;img alt="param_lightning" src="https://github.com/OrcaSlicer/OrcaSlicer/blob/main/resources/images/param_lightning.svg?raw=true" height="45"&gt;</v>
      </c>
      <c r="AX17" s="1" t="str">
        <f>"["&amp;Infill[[#This Row],[name]]&amp;"](strength_settings_patterns#"&amp;Infill[[#This Row],[nameMD]]&amp;")"</f>
        <v>[Lightning](strength_settings_patterns#lightning)</v>
      </c>
      <c r="AY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7" s="1" t="str">
        <f>Infill[[#This Row],[Material Usage Icon]]</f>
        <v>![level-to-worse-0](https://github.com/OrcaSlicer/OrcaSlicer_WIKI/blob/main/images/misc/level-to-worse-0.svg?raw=true)</v>
      </c>
      <c r="BA17" s="1" t="str">
        <f>Infill[[#This Row],[Print Time Icon]]</f>
        <v>![level-to-worse-0](https://github.com/OrcaSlicer/OrcaSlicer_WIKI/blob/main/images/misc/level-to-worse-0.svg?raw=true)</v>
      </c>
      <c r="BB17" t="str">
        <f ca="1">Infill[[#This Row],[Layer time Variability Icon]]</f>
        <v>![level-to-worse-8](https://github.com/OrcaSlicer/OrcaSlicer_WIKI/blob/main/images/misc/level-to-worse-8.svg?raw=true)</v>
      </c>
      <c r="BC17" s="1" t="str">
        <f>Infill[[#This Row],[Multiline]]</f>
        <v>[Classic](strength_settings_infill#classic-strategy)</v>
      </c>
    </row>
    <row r="18" spans="2:55" ht="315" x14ac:dyDescent="0.25">
      <c r="E18">
        <v>16</v>
      </c>
      <c r="F18" t="b">
        <v>1</v>
      </c>
      <c r="G18" t="b">
        <v>0</v>
      </c>
      <c r="H18" t="b">
        <v>0</v>
      </c>
      <c r="I18" t="s">
        <v>9</v>
      </c>
      <c r="J18" t="s">
        <v>9</v>
      </c>
      <c r="K18" t="s">
        <v>96</v>
      </c>
      <c r="L18" t="s">
        <v>125</v>
      </c>
      <c r="M18" t="s">
        <v>217</v>
      </c>
      <c r="N18" t="s">
        <v>216</v>
      </c>
      <c r="O18" t="s">
        <v>243</v>
      </c>
      <c r="P18" s="6" t="s">
        <v>57</v>
      </c>
      <c r="Q18">
        <v>6</v>
      </c>
      <c r="R18" t="str">
        <f>_xlfn.XLOOKUP(Infill[[#This Row],[XY-N]],Rating[N],Rating[Name])</f>
        <v>High</v>
      </c>
      <c r="S18" t="str">
        <f>_xlfn.XLOOKUP(Infill[[#This Row],[XY-N]],Rating[N],Rating[level-to-better])</f>
        <v>![level-to-better-6](https://github.com/OrcaSlicer/OrcaSlicer_WIKI/blob/main/images/misc/level-to-better-6.svg?raw=true)</v>
      </c>
      <c r="T18">
        <v>6</v>
      </c>
      <c r="U18" t="str">
        <f>_xlfn.XLOOKUP(Infill[[#This Row],[Z-N]],Rating[N],Rating[Name])</f>
        <v>High</v>
      </c>
      <c r="V18" t="str">
        <f>_xlfn.XLOOKUP(Infill[[#This Row],[Z-N]],Rating[N],Rating[level-to-better])</f>
        <v>![level-to-better-6](https://github.com/OrcaSlicer/OrcaSlicer_WIKI/blob/main/images/misc/level-to-better-6.svg?raw=true)</v>
      </c>
      <c r="W18" s="11">
        <f ca="1">_xlfn.XLOOKUP(Infill[[#This Row],[infill]],Tabla7[infill],Tabla7[% 2 Sigma])</f>
        <v>4.1996929458678611E-3</v>
      </c>
      <c r="X18" t="str">
        <f ca="1">_xlfn.XLOOKUP(Infill[[#This Row],[% 2 Sigma]],AbsRating[Max %],AbsRating[Name],,1)</f>
        <v>None</v>
      </c>
      <c r="Y18" t="str">
        <f ca="1">_xlfn.XLOOKUP(Infill[[#This Row],[% 2 Sigma]],AbsRating[Max %],AbsRating[icon],,1)</f>
        <v>![level-to-worse-0](https://github.com/OrcaSlicer/OrcaSlicer_WIKI/blob/main/images/misc/level-to-worse-0.svg?raw=true)</v>
      </c>
      <c r="Z18" s="2" t="s">
        <v>72</v>
      </c>
      <c r="AA18">
        <f>_xlfn.XLOOKUP(Infill[[#This Row],[infill]],Tabla7[infill],Tabla7[g])</f>
        <v>191.24700000000001</v>
      </c>
      <c r="AB18" s="2">
        <f>Infill[[#This Row],[g]]/(997.25*0.15)</f>
        <v>1.2784958636249688</v>
      </c>
      <c r="AC18" s="2" t="str">
        <f>_xlfn.XLOOKUP(Infill[[#This Row],[% Effective]],Rating[Max %],Rating[Name],,1)</f>
        <v>High</v>
      </c>
      <c r="AD18" s="2" t="str">
        <f>_xlfn.XLOOKUP(Infill[[#This Row],[% Effective]],Rating[Max %],Rating[level-to-worse],,1)</f>
        <v>![level-to-worse-6](https://github.com/OrcaSlicer/OrcaSlicer_WIKI/blob/main/images/misc/level-to-worse-6.svg?raw=true)</v>
      </c>
      <c r="AE18">
        <f>_xlfn.XLOOKUP(Infill[[#This Row],[infill]],Tabla7[infill],Tabla7[Total Time])</f>
        <v>682.74400000000003</v>
      </c>
      <c r="AF18" s="2">
        <f>Infill[[#This Row],[Total Time]]/AVERAGEIFS(Infill[Total Time],Infill[Material Usage Icon],_xlfn.XLOOKUP("Normal",Rating[Name],Rating[level-to-worse]))</f>
        <v>2.2640729665589161</v>
      </c>
      <c r="AG18" s="2" t="str">
        <f>_xlfn.XLOOKUP(Infill[[#This Row],[t prom]],Rating[Max %],Rating[Name],,1)</f>
        <v>Ultra-High</v>
      </c>
      <c r="AH18" s="2" t="str">
        <f>_xlfn.XLOOKUP(Infill[[#This Row],[t prom]],Rating[Max %],Rating[level-to-worse],,1)</f>
        <v>![level-to-worse-8](https://github.com/OrcaSlicer/OrcaSlicer_WIKI/blob/main/images/misc/level-to-worse-8.svg?raw=true)</v>
      </c>
      <c r="AI18" s="3">
        <f>Infill[[#This Row],[g]]/Infill[[#This Row],[Total Time]]</f>
        <v>0.28011524085162226</v>
      </c>
      <c r="AJ18" s="2">
        <f>Infill[[#This Row],[g/t]]/AVERAGEIFS(Infill[g/t],Infill[Material Usage Icon],_xlfn.XLOOKUP("Normal",Rating[Name],Rating[level-to-worse]))</f>
        <v>0.51011303867267921</v>
      </c>
      <c r="AK18" s="2" t="str">
        <f>_xlfn.XLOOKUP(Infill[[#This Row],[g/t prom]],Rating[Max %],Rating[Name],,1)</f>
        <v>Low</v>
      </c>
      <c r="AL18" s="1" t="str">
        <f>_xlfn.XLOOKUP(Infill[[#This Row],[g/t prom]],Rating[Max %],Rating[level-to-better],,1)</f>
        <v>![level-to-better-2](https://github.com/OrcaSlicer/OrcaSlicer_WIKI/blob/main/images/misc/level-to-better-2.svg?raw=true)</v>
      </c>
      <c r="AM18" s="2" t="str">
        <f>SUBSTITUTE(LOWER(Infill[[#This Row],[name]])," ","-")</f>
        <v>honeycomb</v>
      </c>
      <c r="AN18" t="str">
        <f>"param_"&amp;Infill[[#This Row],[infill]]</f>
        <v>param_honeycomb</v>
      </c>
      <c r="AO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P18" s="2" t="str">
        <f>"["&amp;Infill[[#This Row],[name]]&amp;"](#"&amp;Infill[[#This Row],[nameMD]]&amp;")"</f>
        <v>[Honeycomb](#honeycomb)</v>
      </c>
      <c r="AQ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![infill-top-honeycomb](https://github.com/OrcaSlicer/OrcaSlicer_WIKI/blob/main/images/fill/infill-top-honeycomb.png?raw=true)
</v>
      </c>
      <c r="AS18" t="str">
        <f>IF(OR(Infill[[#This Row],[Is Infill]],Infill[[#This Row],[Is Surface]])," { """&amp;Infill[[#This Row],[infill]]&amp;""", "&amp;Infill[[#This Row],[ip]]&amp;" },","")</f>
        <v xml:space="preserve"> { "honeycomb", ipHoneycomb },</v>
      </c>
      <c r="AT18" t="str">
        <f>IF(OR(Infill[[#This Row],[Is Infill]],Infill[[#This Row],[Is Surface]]),"def-&gt;enum_values.push_back("""&amp;Infill[[#This Row],[infill]]&amp;""");","")</f>
        <v>def-&gt;enum_values.push_back("honeycomb");</v>
      </c>
      <c r="AU18" t="str">
        <f>IF(OR(Infill[[#This Row],[Is Infill]],Infill[[#This Row],[Is Surface]]),"def-&gt;enum_labels.push_back(L("""&amp;Infill[[#This Row],[name]]&amp;"""));","")</f>
        <v>def-&gt;enum_labels.push_back(L("Honeycomb"));</v>
      </c>
      <c r="AW18" t="str">
        <f>Infill[[#This Row],[SVG Link]]</f>
        <v>&lt;img alt="param_honeycomb" src="https://github.com/OrcaSlicer/OrcaSlicer/blob/main/resources/images/param_honeycomb.svg?raw=true" height="45"&gt;</v>
      </c>
      <c r="AX18" s="1" t="str">
        <f>"["&amp;Infill[[#This Row],[name]]&amp;"](strength_settings_patterns#"&amp;Infill[[#This Row],[nameMD]]&amp;")"</f>
        <v>[Honeycomb](strength_settings_patterns#honeycomb)</v>
      </c>
      <c r="AY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8" s="1" t="str">
        <f>Infill[[#This Row],[Material Usage Icon]]</f>
        <v>![level-to-worse-6](https://github.com/OrcaSlicer/OrcaSlicer_WIKI/blob/main/images/misc/level-to-worse-6.svg?raw=true)</v>
      </c>
      <c r="BA18" s="1" t="str">
        <f>Infill[[#This Row],[Print Time Icon]]</f>
        <v>![level-to-worse-8](https://github.com/OrcaSlicer/OrcaSlicer_WIKI/blob/main/images/misc/level-to-worse-8.svg?raw=true)</v>
      </c>
      <c r="BB18" t="str">
        <f ca="1">Infill[[#This Row],[Layer time Variability Icon]]</f>
        <v>![level-to-worse-0](https://github.com/OrcaSlicer/OrcaSlicer_WIKI/blob/main/images/misc/level-to-worse-0.svg?raw=true)</v>
      </c>
      <c r="BC18" s="1" t="str">
        <f>Infill[[#This Row],[Multiline]]</f>
        <v>[Classic](strength_settings_infill#classic-strategy)</v>
      </c>
    </row>
    <row r="19" spans="2:55" ht="409.5" x14ac:dyDescent="0.25">
      <c r="E19">
        <v>17</v>
      </c>
      <c r="F19" t="b">
        <v>1</v>
      </c>
      <c r="G19" t="b">
        <v>0</v>
      </c>
      <c r="H19" t="b">
        <v>0</v>
      </c>
      <c r="I19" t="s">
        <v>12</v>
      </c>
      <c r="J19" t="s">
        <v>9</v>
      </c>
      <c r="K19" t="s">
        <v>101</v>
      </c>
      <c r="L19" t="s">
        <v>128</v>
      </c>
      <c r="M19" t="s">
        <v>218</v>
      </c>
      <c r="N19" t="s">
        <v>216</v>
      </c>
      <c r="O19" t="s">
        <v>243</v>
      </c>
      <c r="P19" s="6" t="s">
        <v>83</v>
      </c>
      <c r="Q19">
        <v>5</v>
      </c>
      <c r="R19" t="str">
        <f>_xlfn.XLOOKUP(Infill[[#This Row],[XY-N]],Rating[N],Rating[Name])</f>
        <v>Normal-High</v>
      </c>
      <c r="S19" t="str">
        <f>_xlfn.XLOOKUP(Infill[[#This Row],[XY-N]],Rating[N],Rating[level-to-better])</f>
        <v>![level-to-better-5](https://github.com/OrcaSlicer/OrcaSlicer_WIKI/blob/main/images/misc/level-to-better-5.svg?raw=true)</v>
      </c>
      <c r="T19">
        <v>5</v>
      </c>
      <c r="U19" t="str">
        <f>_xlfn.XLOOKUP(Infill[[#This Row],[Z-N]],Rating[N],Rating[Name])</f>
        <v>Normal-High</v>
      </c>
      <c r="V19" t="str">
        <f>_xlfn.XLOOKUP(Infill[[#This Row],[Z-N]],Rating[N],Rating[level-to-better])</f>
        <v>![level-to-better-5](https://github.com/OrcaSlicer/OrcaSlicer_WIKI/blob/main/images/misc/level-to-better-5.svg?raw=true)</v>
      </c>
      <c r="W19" s="11">
        <f ca="1">_xlfn.XLOOKUP(Infill[[#This Row],[infill]],Tabla7[infill],Tabla7[% 2 Sigma])</f>
        <v>0.42107547246088983</v>
      </c>
      <c r="X19" t="str">
        <f ca="1">_xlfn.XLOOKUP(Infill[[#This Row],[% 2 Sigma]],AbsRating[Max %],AbsRating[Name],,1)</f>
        <v>Possibly Noticeable</v>
      </c>
      <c r="Y19" t="str">
        <f ca="1">_xlfn.XLOOKUP(Infill[[#This Row],[% 2 Sigma]],AbsRating[Max %],AbsRating[icon],,1)</f>
        <v>![level-to-worse-5](https://github.com/OrcaSlicer/OrcaSlicer_WIKI/blob/main/images/misc/level-to-worse-5.svg?raw=true)</v>
      </c>
      <c r="Z19" s="2" t="s">
        <v>50</v>
      </c>
      <c r="AA19">
        <f>_xlfn.XLOOKUP(Infill[[#This Row],[infill]],Tabla7[infill],Tabla7[g])</f>
        <v>124.437</v>
      </c>
      <c r="AB19" s="2">
        <f>Infill[[#This Row],[g]]/(997.25*0.15)</f>
        <v>0.83186763599899716</v>
      </c>
      <c r="AC19" s="2" t="str">
        <f>_xlfn.XLOOKUP(Infill[[#This Row],[% Effective]],Rating[Max %],Rating[Name],,1)</f>
        <v>Normal-Low</v>
      </c>
      <c r="AD19" s="2" t="str">
        <f>_xlfn.XLOOKUP(Infill[[#This Row],[% Effective]],Rating[Max %],Rating[level-to-worse],,1)</f>
        <v>![level-to-worse-3](https://github.com/OrcaSlicer/OrcaSlicer_WIKI/blob/main/images/misc/level-to-worse-3.svg?raw=true)</v>
      </c>
      <c r="AE19">
        <f>_xlfn.XLOOKUP(Infill[[#This Row],[infill]],Tabla7[infill],Tabla7[Total Time])</f>
        <v>490.12200000000001</v>
      </c>
      <c r="AF19" s="2">
        <f>Infill[[#This Row],[Total Time]]/AVERAGEIFS(Infill[Total Time],Infill[Material Usage Icon],_xlfn.XLOOKUP("Normal",Rating[Name],Rating[level-to-worse]))</f>
        <v>1.6253119331928059</v>
      </c>
      <c r="AG19" s="2" t="str">
        <f>_xlfn.XLOOKUP(Infill[[#This Row],[t prom]],Rating[Max %],Rating[Name],,1)</f>
        <v>Extra-High</v>
      </c>
      <c r="AH19" s="2" t="str">
        <f>_xlfn.XLOOKUP(Infill[[#This Row],[t prom]],Rating[Max %],Rating[level-to-worse],,1)</f>
        <v>![level-to-worse-7](https://github.com/OrcaSlicer/OrcaSlicer_WIKI/blob/main/images/misc/level-to-worse-7.svg?raw=true)</v>
      </c>
      <c r="AI19" s="3">
        <f>Infill[[#This Row],[g]]/Infill[[#This Row],[Total Time]]</f>
        <v>0.25388984783380464</v>
      </c>
      <c r="AJ19" s="2">
        <f>Infill[[#This Row],[g/t]]/AVERAGEIFS(Infill[g/t],Infill[Material Usage Icon],_xlfn.XLOOKUP("Normal",Rating[Name],Rating[level-to-worse]))</f>
        <v>0.4623544273167533</v>
      </c>
      <c r="AK19" s="2" t="str">
        <f>_xlfn.XLOOKUP(Infill[[#This Row],[g/t prom]],Rating[Max %],Rating[Name],,1)</f>
        <v>Low</v>
      </c>
      <c r="AL19" s="1" t="str">
        <f>_xlfn.XLOOKUP(Infill[[#This Row],[g/t prom]],Rating[Max %],Rating[level-to-better],,1)</f>
        <v>![level-to-better-2](https://github.com/OrcaSlicer/OrcaSlicer_WIKI/blob/main/images/misc/level-to-better-2.svg?raw=true)</v>
      </c>
      <c r="AM19" s="2" t="str">
        <f>SUBSTITUTE(LOWER(Infill[[#This Row],[name]])," ","-")</f>
        <v>3d-honeycomb</v>
      </c>
      <c r="AN19" t="str">
        <f>"param_"&amp;Infill[[#This Row],[infill]]</f>
        <v>param_3dhoneycomb</v>
      </c>
      <c r="AO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P19" s="2" t="str">
        <f>"["&amp;Infill[[#This Row],[name]]&amp;"](#"&amp;Infill[[#This Row],[nameMD]]&amp;")"</f>
        <v>[3D Honeycomb](#3d-honeycomb)</v>
      </c>
      <c r="AQ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Fill pattern tops
&gt; [!IMPORTANT]
&gt; NEW FEATURE: **Fill pattern tops**  
&gt; Available in: [Nightly builds](https://github.com/OrcaSlicer/OrcaSlicer/releases/tag/nightly-builds) or Releases greater than **2.4.2**.
The square at the top of each cell is left open by default. This option covers those squares.
Whenever the pattern changes its print direction, extra lines are bridged across the squares of the previous layer. This is added on top of the normal pattern, which keeps its structural stability.
- **Disabled (default):** the squares are left open.
- **Enabled:** the squares are covered.
The option is only shown when the [Sparse infill pattern](strength_settings_infill#sparse-infill-pattern) is **3D Honeycomb** and the [Sparse infill density](strength_settings_infill#sparse-infill-density) is above 0%.
Useful for:
- **Functional parts**, for example keeping two channels (air and water) separate.
- **Artistic prints** where the upper surface of the pattern should be filled in.
&gt; [!NOTE]
&gt; It is disabled by default because the direction reversals and non-extrusion moves needed to cover the squares substantially slow down the print.
Behavior with other settings:
- **[Fill Multiline](strength_settings_infill#fill-multiline):** the cover is not multiplied by the number of lines. It is printed as a single zigzag pass, built up over as many layers as there are lines and changing direction on every layer.
- **Density:** the squares get smaller as the density increases (and larger with more [Fill Multiline](strength_settings_infill#fill-multiline) lines). When a square is too small to fit a cover line, none is generated, so the option has no effect at high densities.
- **Line spacing:** the cover lines are intentionally closer together than the line width, so the squares close without gaps.
&gt; [!NOTE]
&gt; The covers are bridges, and small pinholes can remain in them. Test your print if it must be airtight or watertight.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[Non-Crossing](strength_settings_infill#non-crossing-strategy)
    - **[Symmetric infill Y axis](strength_settings_infill#symmetric-infill-y-axis):** No
    - **[Smooth Factor](strength_settings_infill#sparse-infill-smooth-factor):** Yes
- **Applies to:**
    - **[Sparse Infill](strength_settings_infill#sparse-infill-density)**
![infill-top-3d-honeycomb](https://github.com/OrcaSlicer/OrcaSlicer_WIKI/blob/main/images/fill/infill-top-3d-honeycomb.png?raw=true)
</v>
      </c>
      <c r="AS19" t="str">
        <f>IF(OR(Infill[[#This Row],[Is Infill]],Infill[[#This Row],[Is Surface]])," { """&amp;Infill[[#This Row],[infill]]&amp;""", "&amp;Infill[[#This Row],[ip]]&amp;" },","")</f>
        <v xml:space="preserve"> { "3dhoneycomb", ip3DHoneycomb },</v>
      </c>
      <c r="AT19" t="str">
        <f>IF(OR(Infill[[#This Row],[Is Infill]],Infill[[#This Row],[Is Surface]]),"def-&gt;enum_values.push_back("""&amp;Infill[[#This Row],[infill]]&amp;""");","")</f>
        <v>def-&gt;enum_values.push_back("3dhoneycomb");</v>
      </c>
      <c r="AU19" t="str">
        <f>IF(OR(Infill[[#This Row],[Is Infill]],Infill[[#This Row],[Is Surface]]),"def-&gt;enum_labels.push_back(L("""&amp;Infill[[#This Row],[name]]&amp;"""));","")</f>
        <v>def-&gt;enum_labels.push_back(L("3D Honeycomb"));</v>
      </c>
      <c r="AW19" t="str">
        <f>Infill[[#This Row],[SVG Link]]</f>
        <v>&lt;img alt="param_3dhoneycomb" src="https://github.com/OrcaSlicer/OrcaSlicer/blob/main/resources/images/param_3dhoneycomb.svg?raw=true" height="45"&gt;</v>
      </c>
      <c r="AX19" s="1" t="str">
        <f>"["&amp;Infill[[#This Row],[name]]&amp;"](strength_settings_patterns#"&amp;Infill[[#This Row],[nameMD]]&amp;")"</f>
        <v>[3D Honeycomb](strength_settings_patterns#3d-honeycomb)</v>
      </c>
      <c r="AY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9" s="1" t="str">
        <f>Infill[[#This Row],[Material Usage Icon]]</f>
        <v>![level-to-worse-3](https://github.com/OrcaSlicer/OrcaSlicer_WIKI/blob/main/images/misc/level-to-worse-3.svg?raw=true)</v>
      </c>
      <c r="BA19" s="1" t="str">
        <f>Infill[[#This Row],[Print Time Icon]]</f>
        <v>![level-to-worse-7](https://github.com/OrcaSlicer/OrcaSlicer_WIKI/blob/main/images/misc/level-to-worse-7.svg?raw=true)</v>
      </c>
      <c r="BB19" t="str">
        <f ca="1">Infill[[#This Row],[Layer time Variability Icon]]</f>
        <v>![level-to-worse-5](https://github.com/OrcaSlicer/OrcaSlicer_WIKI/blob/main/images/misc/level-to-worse-5.svg?raw=true)</v>
      </c>
      <c r="BC19" s="1" t="str">
        <f>Infill[[#This Row],[Multiline]]</f>
        <v>[Non-Crossing](strength_settings_infill#non-crossing-strategy)</v>
      </c>
    </row>
    <row r="20" spans="2:55" ht="330" x14ac:dyDescent="0.25">
      <c r="E20">
        <v>18</v>
      </c>
      <c r="F20" t="b">
        <v>1</v>
      </c>
      <c r="G20" t="b">
        <v>0</v>
      </c>
      <c r="H20" t="b">
        <v>0</v>
      </c>
      <c r="I20" t="s">
        <v>174</v>
      </c>
      <c r="J20" t="s">
        <v>9</v>
      </c>
      <c r="K20" t="s">
        <v>173</v>
      </c>
      <c r="L20" t="s">
        <v>177</v>
      </c>
      <c r="M20" t="s">
        <v>217</v>
      </c>
      <c r="N20" t="s">
        <v>216</v>
      </c>
      <c r="O20" t="s">
        <v>216</v>
      </c>
      <c r="P20" s="8" t="s">
        <v>179</v>
      </c>
      <c r="Q20">
        <v>3</v>
      </c>
      <c r="R20" t="str">
        <f>_xlfn.XLOOKUP(Infill[[#This Row],[XY-N]],Rating[N],Rating[Name])</f>
        <v>Normal-Low</v>
      </c>
      <c r="S20" t="str">
        <f>_xlfn.XLOOKUP(Infill[[#This Row],[XY-N]],Rating[N],Rating[level-to-better])</f>
        <v>![level-to-better-3](https://github.com/OrcaSlicer/OrcaSlicer_WIKI/blob/main/images/misc/level-to-better-3.svg?raw=true)</v>
      </c>
      <c r="T20">
        <v>3</v>
      </c>
      <c r="U20" t="str">
        <f>_xlfn.XLOOKUP(Infill[[#This Row],[Z-N]],Rating[N],Rating[Name])</f>
        <v>Normal-Low</v>
      </c>
      <c r="V20" t="str">
        <f>_xlfn.XLOOKUP(Infill[[#This Row],[Z-N]],Rating[N],Rating[level-to-better])</f>
        <v>![level-to-better-3](https://github.com/OrcaSlicer/OrcaSlicer_WIKI/blob/main/images/misc/level-to-better-3.svg?raw=true)</v>
      </c>
      <c r="W20" s="11">
        <f ca="1">_xlfn.XLOOKUP(Infill[[#This Row],[infill]],Tabla7[infill],Tabla7[% 2 Sigma])</f>
        <v>0.66989273589465026</v>
      </c>
      <c r="X20" t="str">
        <f ca="1">_xlfn.XLOOKUP(Infill[[#This Row],[% 2 Sigma]],AbsRating[Max %],AbsRating[Name],,1)</f>
        <v>Possibly Noticeable</v>
      </c>
      <c r="Y20" t="str">
        <f ca="1">_xlfn.XLOOKUP(Infill[[#This Row],[% 2 Sigma]],AbsRating[Max %],AbsRating[icon],,1)</f>
        <v>![level-to-worse-5](https://github.com/OrcaSlicer/OrcaSlicer_WIKI/blob/main/images/misc/level-to-worse-5.svg?raw=true)</v>
      </c>
      <c r="Z20" s="2" t="s">
        <v>72</v>
      </c>
      <c r="AA20">
        <f>_xlfn.XLOOKUP(Infill[[#This Row],[infill]],Tabla7[infill],Tabla7[g])</f>
        <v>149.51300000000001</v>
      </c>
      <c r="AB20" s="2">
        <f>Infill[[#This Row],[g]]/(997.25*0.15)</f>
        <v>0.99950196373360078</v>
      </c>
      <c r="AC20" s="2" t="str">
        <f>_xlfn.XLOOKUP(Infill[[#This Row],[% Effective]],Rating[Max %],Rating[Name],,1)</f>
        <v>Normal</v>
      </c>
      <c r="AD20" s="2" t="str">
        <f>_xlfn.XLOOKUP(Infill[[#This Row],[% Effective]],Rating[Max %],Rating[level-to-worse],,1)</f>
        <v>![level-to-worse-4](https://github.com/OrcaSlicer/OrcaSlicer_WIKI/blob/main/images/misc/level-to-worse-4.svg?raw=true)</v>
      </c>
      <c r="AE20">
        <f>_xlfn.XLOOKUP(Infill[[#This Row],[infill]],Tabla7[infill],Tabla7[Total Time])</f>
        <v>242.97499999999999</v>
      </c>
      <c r="AF20" s="2">
        <f>Infill[[#This Row],[Total Time]]/AVERAGEIFS(Infill[Total Time],Infill[Material Usage Icon],_xlfn.XLOOKUP("Normal",Rating[Name],Rating[level-to-worse]))</f>
        <v>0.80573850381644163</v>
      </c>
      <c r="AG20" s="2" t="str">
        <f>_xlfn.XLOOKUP(Infill[[#This Row],[t prom]],Rating[Max %],Rating[Name],,1)</f>
        <v>Normal-Low</v>
      </c>
      <c r="AH20" s="2" t="str">
        <f>_xlfn.XLOOKUP(Infill[[#This Row],[t prom]],Rating[Max %],Rating[level-to-worse],,1)</f>
        <v>![level-to-worse-3](https://github.com/OrcaSlicer/OrcaSlicer_WIKI/blob/main/images/misc/level-to-worse-3.svg?raw=true)</v>
      </c>
      <c r="AI20" s="3">
        <f>Infill[[#This Row],[g]]/Infill[[#This Row],[Total Time]]</f>
        <v>0.61534314229859044</v>
      </c>
      <c r="AJ20" s="2">
        <f>Infill[[#This Row],[g/t]]/AVERAGEIFS(Infill[g/t],Infill[Material Usage Icon],_xlfn.XLOOKUP("Normal",Rating[Name],Rating[level-to-worse]))</f>
        <v>1.1205907939532629</v>
      </c>
      <c r="AK20" s="2" t="str">
        <f>_xlfn.XLOOKUP(Infill[[#This Row],[g/t prom]],Rating[Max %],Rating[Name],,1)</f>
        <v>Normal-High</v>
      </c>
      <c r="AL20" s="1" t="str">
        <f>_xlfn.XLOOKUP(Infill[[#This Row],[g/t prom]],Rating[Max %],Rating[level-to-better],,1)</f>
        <v>![level-to-better-5](https://github.com/OrcaSlicer/OrcaSlicer_WIKI/blob/main/images/misc/level-to-better-5.svg?raw=true)</v>
      </c>
      <c r="AM20" s="2" t="str">
        <f>SUBSTITUTE(LOWER(Infill[[#This Row],[name]])," ","-")</f>
        <v>lateral-honeycomb</v>
      </c>
      <c r="AN20" t="str">
        <f>"param_"&amp;Infill[[#This Row],[infill]]</f>
        <v>param_lateral-honeycomb</v>
      </c>
      <c r="AO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P20" s="2" t="str">
        <f>"["&amp;Infill[[#This Row],[name]]&amp;"](#"&amp;Infill[[#This Row],[nameMD]]&amp;")"</f>
        <v>[Lateral Honeycomb](#lateral-honeycomb)</v>
      </c>
      <c r="AQ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![infill-top-lateral-honeycomb](https://github.com/OrcaSlicer/OrcaSlicer_WIKI/blob/main/images/fill/infill-top-lateral-honeycomb.png?raw=true)
</v>
      </c>
      <c r="AS20" t="str">
        <f>IF(OR(Infill[[#This Row],[Is Infill]],Infill[[#This Row],[Is Surface]])," { """&amp;Infill[[#This Row],[infill]]&amp;""", "&amp;Infill[[#This Row],[ip]]&amp;" },","")</f>
        <v xml:space="preserve"> { "lateral-honeycomb", ipLateralHoneycomb },</v>
      </c>
      <c r="AT20" t="str">
        <f>IF(OR(Infill[[#This Row],[Is Infill]],Infill[[#This Row],[Is Surface]]),"def-&gt;enum_values.push_back("""&amp;Infill[[#This Row],[infill]]&amp;""");","")</f>
        <v>def-&gt;enum_values.push_back("lateral-honeycomb");</v>
      </c>
      <c r="AU20" t="str">
        <f>IF(OR(Infill[[#This Row],[Is Infill]],Infill[[#This Row],[Is Surface]]),"def-&gt;enum_labels.push_back(L("""&amp;Infill[[#This Row],[name]]&amp;"""));","")</f>
        <v>def-&gt;enum_labels.push_back(L("Lateral Honeycomb"));</v>
      </c>
      <c r="AW20" t="str">
        <f>Infill[[#This Row],[SVG Link]]</f>
        <v>&lt;img alt="param_lateral-honeycomb" src="https://github.com/OrcaSlicer/OrcaSlicer/blob/main/resources/images/param_lateral-honeycomb.svg?raw=true" height="45"&gt;</v>
      </c>
      <c r="AX20" s="1" t="str">
        <f>"["&amp;Infill[[#This Row],[name]]&amp;"](strength_settings_patterns#"&amp;Infill[[#This Row],[nameMD]]&amp;")"</f>
        <v>[Lateral Honeycomb](strength_settings_patterns#lateral-honeycomb)</v>
      </c>
      <c r="AY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20" s="1" t="str">
        <f>Infill[[#This Row],[Material Usage Icon]]</f>
        <v>![level-to-worse-4](https://github.com/OrcaSlicer/OrcaSlicer_WIKI/blob/main/images/misc/level-to-worse-4.svg?raw=true)</v>
      </c>
      <c r="BA20" s="1" t="str">
        <f>Infill[[#This Row],[Print Time Icon]]</f>
        <v>![level-to-worse-3](https://github.com/OrcaSlicer/OrcaSlicer_WIKI/blob/main/images/misc/level-to-worse-3.svg?raw=true)</v>
      </c>
      <c r="BB20" t="str">
        <f ca="1">Infill[[#This Row],[Layer time Variability Icon]]</f>
        <v>![level-to-worse-5](https://github.com/OrcaSlicer/OrcaSlicer_WIKI/blob/main/images/misc/level-to-worse-5.svg?raw=true)</v>
      </c>
      <c r="BC20" s="1" t="str">
        <f>Infill[[#This Row],[Multiline]]</f>
        <v>[Classic](strength_settings_infill#classic-strategy)</v>
      </c>
    </row>
    <row r="21" spans="2:55" ht="315" x14ac:dyDescent="0.25">
      <c r="E21">
        <v>19</v>
      </c>
      <c r="F21" t="b">
        <v>1</v>
      </c>
      <c r="G21" t="b">
        <v>0</v>
      </c>
      <c r="H21" t="b">
        <v>0</v>
      </c>
      <c r="I21" t="s">
        <v>175</v>
      </c>
      <c r="J21" t="s">
        <v>176</v>
      </c>
      <c r="K21" t="s">
        <v>172</v>
      </c>
      <c r="L21" t="s">
        <v>178</v>
      </c>
      <c r="M21" t="s">
        <v>217</v>
      </c>
      <c r="N21" t="s">
        <v>216</v>
      </c>
      <c r="O21" t="s">
        <v>216</v>
      </c>
      <c r="P21" s="6" t="s">
        <v>82</v>
      </c>
      <c r="Q21">
        <v>3</v>
      </c>
      <c r="R21" t="str">
        <f>_xlfn.XLOOKUP(Infill[[#This Row],[XY-N]],Rating[N],Rating[Name])</f>
        <v>Normal-Low</v>
      </c>
      <c r="S21" t="str">
        <f>_xlfn.XLOOKUP(Infill[[#This Row],[XY-N]],Rating[N],Rating[level-to-better])</f>
        <v>![level-to-better-3](https://github.com/OrcaSlicer/OrcaSlicer_WIKI/blob/main/images/misc/level-to-better-3.svg?raw=true)</v>
      </c>
      <c r="T21">
        <v>2</v>
      </c>
      <c r="U21" t="str">
        <f>_xlfn.XLOOKUP(Infill[[#This Row],[Z-N]],Rating[N],Rating[Name])</f>
        <v>Low</v>
      </c>
      <c r="V21" t="str">
        <f>_xlfn.XLOOKUP(Infill[[#This Row],[Z-N]],Rating[N],Rating[level-to-better])</f>
        <v>![level-to-better-2](https://github.com/OrcaSlicer/OrcaSlicer_WIKI/blob/main/images/misc/level-to-better-2.svg?raw=true)</v>
      </c>
      <c r="W21" s="11">
        <f ca="1">_xlfn.XLOOKUP(Infill[[#This Row],[infill]],Tabla7[infill],Tabla7[% 2 Sigma])</f>
        <v>1.7314387083203098E-2</v>
      </c>
      <c r="X21" t="str">
        <f ca="1">_xlfn.XLOOKUP(Infill[[#This Row],[% 2 Sigma]],AbsRating[Max %],AbsRating[Name],,1)</f>
        <v>Unnoticeable</v>
      </c>
      <c r="Y21" t="str">
        <f ca="1">_xlfn.XLOOKUP(Infill[[#This Row],[% 2 Sigma]],AbsRating[Max %],AbsRating[icon],,1)</f>
        <v>![level-to-worse-2](https://github.com/OrcaSlicer/OrcaSlicer_WIKI/blob/main/images/misc/level-to-worse-2.svg?raw=true)</v>
      </c>
      <c r="Z21" s="2" t="s">
        <v>72</v>
      </c>
      <c r="AA21">
        <f>_xlfn.XLOOKUP(Infill[[#This Row],[infill]],Tabla7[infill],Tabla7[g])</f>
        <v>149.00700000000001</v>
      </c>
      <c r="AB21" s="2">
        <f>Infill[[#This Row],[g]]/(997.25*0.15)</f>
        <v>0.9961193281524191</v>
      </c>
      <c r="AC21" s="2" t="str">
        <f>_xlfn.XLOOKUP(Infill[[#This Row],[% Effective]],Rating[Max %],Rating[Name],,1)</f>
        <v>Normal</v>
      </c>
      <c r="AD21" s="2" t="str">
        <f>_xlfn.XLOOKUP(Infill[[#This Row],[% Effective]],Rating[Max %],Rating[level-to-worse],,1)</f>
        <v>![level-to-worse-4](https://github.com/OrcaSlicer/OrcaSlicer_WIKI/blob/main/images/misc/level-to-worse-4.svg?raw=true)</v>
      </c>
      <c r="AE21">
        <f>_xlfn.XLOOKUP(Infill[[#This Row],[infill]],Tabla7[infill],Tabla7[Total Time])</f>
        <v>242.48599999999999</v>
      </c>
      <c r="AF21" s="2">
        <f>Infill[[#This Row],[Total Time]]/AVERAGEIFS(Infill[Total Time],Infill[Material Usage Icon],_xlfn.XLOOKUP("Normal",Rating[Name],Rating[level-to-worse]))</f>
        <v>0.80411691258949958</v>
      </c>
      <c r="AG21" s="2" t="str">
        <f>_xlfn.XLOOKUP(Infill[[#This Row],[t prom]],Rating[Max %],Rating[Name],,1)</f>
        <v>Normal-Low</v>
      </c>
      <c r="AH21" s="2" t="str">
        <f>_xlfn.XLOOKUP(Infill[[#This Row],[t prom]],Rating[Max %],Rating[level-to-worse],,1)</f>
        <v>![level-to-worse-3](https://github.com/OrcaSlicer/OrcaSlicer_WIKI/blob/main/images/misc/level-to-worse-3.svg?raw=true)</v>
      </c>
      <c r="AI21" s="3">
        <f>Infill[[#This Row],[g]]/Infill[[#This Row],[Total Time]]</f>
        <v>0.61449733180472277</v>
      </c>
      <c r="AJ21" s="2">
        <f>Infill[[#This Row],[g/t]]/AVERAGEIFS(Infill[g/t],Infill[Material Usage Icon],_xlfn.XLOOKUP("Normal",Rating[Name],Rating[level-to-worse]))</f>
        <v>1.1190505030363662</v>
      </c>
      <c r="AK21" s="2" t="str">
        <f>_xlfn.XLOOKUP(Infill[[#This Row],[g/t prom]],Rating[Max %],Rating[Name],,1)</f>
        <v>Normal-High</v>
      </c>
      <c r="AL21" s="1" t="str">
        <f>_xlfn.XLOOKUP(Infill[[#This Row],[g/t prom]],Rating[Max %],Rating[level-to-better],,1)</f>
        <v>![level-to-better-5](https://github.com/OrcaSlicer/OrcaSlicer_WIKI/blob/main/images/misc/level-to-better-5.svg?raw=true)</v>
      </c>
      <c r="AM21" s="2" t="str">
        <f>SUBSTITUTE(LOWER(Infill[[#This Row],[name]])," ","-")</f>
        <v>lateral-lattice</v>
      </c>
      <c r="AN21" t="str">
        <f>"param_"&amp;Infill[[#This Row],[infill]]</f>
        <v>param_lateral-lattice</v>
      </c>
      <c r="AO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P21" s="2" t="str">
        <f>"["&amp;Infill[[#This Row],[name]]&amp;"](#"&amp;Infill[[#This Row],[nameMD]]&amp;")"</f>
        <v>[Lateral Lattice](#lateral-lattice)</v>
      </c>
      <c r="AQ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![infill-top-lateral-lattice](https://github.com/OrcaSlicer/OrcaSlicer_WIKI/blob/main/images/fill/infill-top-lateral-lattice.png?raw=true)
</v>
      </c>
      <c r="AS21" t="str">
        <f>IF(OR(Infill[[#This Row],[Is Infill]],Infill[[#This Row],[Is Surface]])," { """&amp;Infill[[#This Row],[infill]]&amp;""", "&amp;Infill[[#This Row],[ip]]&amp;" },","")</f>
        <v xml:space="preserve"> { "lateral-lattice", ipLateralLattice },</v>
      </c>
      <c r="AT21" t="str">
        <f>IF(OR(Infill[[#This Row],[Is Infill]],Infill[[#This Row],[Is Surface]]),"def-&gt;enum_values.push_back("""&amp;Infill[[#This Row],[infill]]&amp;""");","")</f>
        <v>def-&gt;enum_values.push_back("lateral-lattice");</v>
      </c>
      <c r="AU21" t="str">
        <f>IF(OR(Infill[[#This Row],[Is Infill]],Infill[[#This Row],[Is Surface]]),"def-&gt;enum_labels.push_back(L("""&amp;Infill[[#This Row],[name]]&amp;"""));","")</f>
        <v>def-&gt;enum_labels.push_back(L("Lateral Lattice"));</v>
      </c>
      <c r="AW21" t="str">
        <f>Infill[[#This Row],[SVG Link]]</f>
        <v>&lt;img alt="param_lateral-lattice" src="https://github.com/OrcaSlicer/OrcaSlicer/blob/main/resources/images/param_lateral-lattice.svg?raw=true" height="45"&gt;</v>
      </c>
      <c r="AX21" s="1" t="str">
        <f>"["&amp;Infill[[#This Row],[name]]&amp;"](strength_settings_patterns#"&amp;Infill[[#This Row],[nameMD]]&amp;")"</f>
        <v>[Lateral Lattice](strength_settings_patterns#lateral-lattice)</v>
      </c>
      <c r="AY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21" s="1" t="str">
        <f>Infill[[#This Row],[Material Usage Icon]]</f>
        <v>![level-to-worse-4](https://github.com/OrcaSlicer/OrcaSlicer_WIKI/blob/main/images/misc/level-to-worse-4.svg?raw=true)</v>
      </c>
      <c r="BA21" s="1" t="str">
        <f>Infill[[#This Row],[Print Time Icon]]</f>
        <v>![level-to-worse-3](https://github.com/OrcaSlicer/OrcaSlicer_WIKI/blob/main/images/misc/level-to-worse-3.svg?raw=true)</v>
      </c>
      <c r="BB21" t="str">
        <f ca="1">Infill[[#This Row],[Layer time Variability Icon]]</f>
        <v>![level-to-worse-2](https://github.com/OrcaSlicer/OrcaSlicer_WIKI/blob/main/images/misc/level-to-worse-2.svg?raw=true)</v>
      </c>
      <c r="BC21" s="1" t="str">
        <f>Infill[[#This Row],[Multiline]]</f>
        <v>[Classic](strength_settings_infill#classic-strategy)</v>
      </c>
    </row>
    <row r="22" spans="2:55" ht="330" x14ac:dyDescent="0.25">
      <c r="E22">
        <v>20</v>
      </c>
      <c r="F22" t="b">
        <v>1</v>
      </c>
      <c r="G22" t="b">
        <v>0</v>
      </c>
      <c r="H22" t="b">
        <v>0</v>
      </c>
      <c r="I22" t="s">
        <v>18</v>
      </c>
      <c r="J22" t="s">
        <v>152</v>
      </c>
      <c r="K22" t="s">
        <v>109</v>
      </c>
      <c r="L22" t="s">
        <v>134</v>
      </c>
      <c r="M22" t="s">
        <v>217</v>
      </c>
      <c r="N22" t="s">
        <v>216</v>
      </c>
      <c r="O22" t="s">
        <v>243</v>
      </c>
      <c r="P22" s="6" t="s">
        <v>84</v>
      </c>
      <c r="Q22">
        <v>5</v>
      </c>
      <c r="R22" t="str">
        <f>_xlfn.XLOOKUP(Infill[[#This Row],[XY-N]],Rating[N],Rating[Name])</f>
        <v>Normal-High</v>
      </c>
      <c r="S22" t="str">
        <f>_xlfn.XLOOKUP(Infill[[#This Row],[XY-N]],Rating[N],Rating[level-to-better])</f>
        <v>![level-to-better-5](https://github.com/OrcaSlicer/OrcaSlicer_WIKI/blob/main/images/misc/level-to-better-5.svg?raw=true)</v>
      </c>
      <c r="T22">
        <v>5</v>
      </c>
      <c r="U22" t="str">
        <f>_xlfn.XLOOKUP(Infill[[#This Row],[Z-N]],Rating[N],Rating[Name])</f>
        <v>Normal-High</v>
      </c>
      <c r="V22" t="str">
        <f>_xlfn.XLOOKUP(Infill[[#This Row],[Z-N]],Rating[N],Rating[level-to-better])</f>
        <v>![level-to-better-5](https://github.com/OrcaSlicer/OrcaSlicer_WIKI/blob/main/images/misc/level-to-better-5.svg?raw=true)</v>
      </c>
      <c r="W22" s="11">
        <f ca="1">_xlfn.XLOOKUP(Infill[[#This Row],[infill]],Tabla7[infill],Tabla7[% 2 Sigma])</f>
        <v>1.083366881386107</v>
      </c>
      <c r="X22" t="str">
        <f ca="1">_xlfn.XLOOKUP(Infill[[#This Row],[% 2 Sigma]],AbsRating[Max %],AbsRating[Name],,1)</f>
        <v>Likely Noticeable</v>
      </c>
      <c r="Y22" t="str">
        <f ca="1">_xlfn.XLOOKUP(Infill[[#This Row],[% 2 Sigma]],AbsRating[Max %],AbsRating[icon],,1)</f>
        <v>![level-to-worse-8](https://github.com/OrcaSlicer/OrcaSlicer_WIKI/blob/main/images/misc/level-to-worse-8.svg?raw=true)</v>
      </c>
      <c r="Z22" s="2" t="s">
        <v>72</v>
      </c>
      <c r="AA22">
        <f>_xlfn.XLOOKUP(Infill[[#This Row],[infill]],Tabla7[infill],Tabla7[g])</f>
        <v>144.98400000000001</v>
      </c>
      <c r="AB22" s="2">
        <f>Infill[[#This Row],[g]]/(997.25*0.15)</f>
        <v>0.96922536976685891</v>
      </c>
      <c r="AC22" s="2" t="str">
        <f>_xlfn.XLOOKUP(Infill[[#This Row],[% Effective]],Rating[Max %],Rating[Name],,1)</f>
        <v>Normal</v>
      </c>
      <c r="AD22" s="2" t="str">
        <f>_xlfn.XLOOKUP(Infill[[#This Row],[% Effective]],Rating[Max %],Rating[level-to-worse],,1)</f>
        <v>![level-to-worse-4](https://github.com/OrcaSlicer/OrcaSlicer_WIKI/blob/main/images/misc/level-to-worse-4.svg?raw=true)</v>
      </c>
      <c r="AE22">
        <f>_xlfn.XLOOKUP(Infill[[#This Row],[infill]],Tabla7[infill],Tabla7[Total Time])</f>
        <v>400.47699999999998</v>
      </c>
      <c r="AF22" s="2">
        <f>Infill[[#This Row],[Total Time]]/AVERAGEIFS(Infill[Total Time],Infill[Material Usage Icon],_xlfn.XLOOKUP("Normal",Rating[Name],Rating[level-to-worse]))</f>
        <v>1.3280367889408256</v>
      </c>
      <c r="AG22" s="2" t="str">
        <f>_xlfn.XLOOKUP(Infill[[#This Row],[t prom]],Rating[Max %],Rating[Name],,1)</f>
        <v>High</v>
      </c>
      <c r="AH22" s="2" t="str">
        <f>_xlfn.XLOOKUP(Infill[[#This Row],[t prom]],Rating[Max %],Rating[level-to-worse],,1)</f>
        <v>![level-to-worse-6](https://github.com/OrcaSlicer/OrcaSlicer_WIKI/blob/main/images/misc/level-to-worse-6.svg?raw=true)</v>
      </c>
      <c r="AI22" s="3">
        <f>Infill[[#This Row],[g]]/Infill[[#This Row],[Total Time]]</f>
        <v>0.36202828127458009</v>
      </c>
      <c r="AJ22" s="2">
        <f>Infill[[#This Row],[g/t]]/AVERAGEIFS(Infill[g/t],Infill[Material Usage Icon],_xlfn.XLOOKUP("Normal",Rating[Name],Rating[level-to-worse]))</f>
        <v>0.65928346520868697</v>
      </c>
      <c r="AK22" s="2" t="str">
        <f>_xlfn.XLOOKUP(Infill[[#This Row],[g/t prom]],Rating[Max %],Rating[Name],,1)</f>
        <v>Low</v>
      </c>
      <c r="AL22" s="1" t="str">
        <f>_xlfn.XLOOKUP(Infill[[#This Row],[g/t prom]],Rating[Max %],Rating[level-to-better],,1)</f>
        <v>![level-to-better-2](https://github.com/OrcaSlicer/OrcaSlicer_WIKI/blob/main/images/misc/level-to-better-2.svg?raw=true)</v>
      </c>
      <c r="AM22" s="2" t="str">
        <f>SUBSTITUTE(LOWER(Infill[[#This Row],[name]])," ","-")</f>
        <v>cross-hatch</v>
      </c>
      <c r="AN22" t="str">
        <f>"param_"&amp;Infill[[#This Row],[infill]]</f>
        <v>param_crosshatch</v>
      </c>
      <c r="AO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P22" s="2" t="str">
        <f>"["&amp;Infill[[#This Row],[name]]&amp;"](#"&amp;Infill[[#This Row],[nameMD]]&amp;")"</f>
        <v>[Cross Hatch](#cross-hatch)</v>
      </c>
      <c r="AQ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![infill-top-cross-hatch](https://github.com/OrcaSlicer/OrcaSlicer_WIKI/blob/main/images/fill/infill-top-cross-hatch.png?raw=true)
</v>
      </c>
      <c r="AS22" t="str">
        <f>IF(OR(Infill[[#This Row],[Is Infill]],Infill[[#This Row],[Is Surface]])," { """&amp;Infill[[#This Row],[infill]]&amp;""", "&amp;Infill[[#This Row],[ip]]&amp;" },","")</f>
        <v xml:space="preserve"> { "crosshatch", ipCrossHatch },</v>
      </c>
      <c r="AT22" t="str">
        <f>IF(OR(Infill[[#This Row],[Is Infill]],Infill[[#This Row],[Is Surface]]),"def-&gt;enum_values.push_back("""&amp;Infill[[#This Row],[infill]]&amp;""");","")</f>
        <v>def-&gt;enum_values.push_back("crosshatch");</v>
      </c>
      <c r="AU22" t="str">
        <f>IF(OR(Infill[[#This Row],[Is Infill]],Infill[[#This Row],[Is Surface]]),"def-&gt;enum_labels.push_back(L("""&amp;Infill[[#This Row],[name]]&amp;"""));","")</f>
        <v>def-&gt;enum_labels.push_back(L("Cross Hatch"));</v>
      </c>
      <c r="AW22" t="str">
        <f>Infill[[#This Row],[SVG Link]]</f>
        <v>&lt;img alt="param_crosshatch" src="https://github.com/OrcaSlicer/OrcaSlicer/blob/main/resources/images/param_crosshatch.svg?raw=true" height="45"&gt;</v>
      </c>
      <c r="AX22" s="1" t="str">
        <f>"["&amp;Infill[[#This Row],[name]]&amp;"](strength_settings_patterns#"&amp;Infill[[#This Row],[nameMD]]&amp;")"</f>
        <v>[Cross Hatch](strength_settings_patterns#cross-hatch)</v>
      </c>
      <c r="AY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2" s="1" t="str">
        <f>Infill[[#This Row],[Material Usage Icon]]</f>
        <v>![level-to-worse-4](https://github.com/OrcaSlicer/OrcaSlicer_WIKI/blob/main/images/misc/level-to-worse-4.svg?raw=true)</v>
      </c>
      <c r="BA22" s="1" t="str">
        <f>Infill[[#This Row],[Print Time Icon]]</f>
        <v>![level-to-worse-6](https://github.com/OrcaSlicer/OrcaSlicer_WIKI/blob/main/images/misc/level-to-worse-6.svg?raw=true)</v>
      </c>
      <c r="BB22" t="str">
        <f ca="1">Infill[[#This Row],[Layer time Variability Icon]]</f>
        <v>![level-to-worse-8](https://github.com/OrcaSlicer/OrcaSlicer_WIKI/blob/main/images/misc/level-to-worse-8.svg?raw=true)</v>
      </c>
      <c r="BC22" s="1" t="str">
        <f>Infill[[#This Row],[Multiline]]</f>
        <v>[Classic](strength_settings_infill#classic-strategy)</v>
      </c>
    </row>
    <row r="23" spans="2:55" ht="315" x14ac:dyDescent="0.25">
      <c r="E23">
        <v>21</v>
      </c>
      <c r="F23" t="b">
        <v>1</v>
      </c>
      <c r="G23" t="b">
        <v>0</v>
      </c>
      <c r="H23" t="b">
        <v>0</v>
      </c>
      <c r="I23" t="s">
        <v>8</v>
      </c>
      <c r="J23" t="s">
        <v>152</v>
      </c>
      <c r="K23" t="s">
        <v>95</v>
      </c>
      <c r="L23" t="s">
        <v>124</v>
      </c>
      <c r="M23" t="s">
        <v>217</v>
      </c>
      <c r="N23" t="s">
        <v>216</v>
      </c>
      <c r="O23" t="s">
        <v>216</v>
      </c>
      <c r="P23" s="6" t="s">
        <v>86</v>
      </c>
      <c r="Q23">
        <v>6</v>
      </c>
      <c r="R23" t="str">
        <f>_xlfn.XLOOKUP(Infill[[#This Row],[XY-N]],Rating[N],Rating[Name])</f>
        <v>High</v>
      </c>
      <c r="S23" t="str">
        <f>_xlfn.XLOOKUP(Infill[[#This Row],[XY-N]],Rating[N],Rating[level-to-better])</f>
        <v>![level-to-better-6](https://github.com/OrcaSlicer/OrcaSlicer_WIKI/blob/main/images/misc/level-to-better-6.svg?raw=true)</v>
      </c>
      <c r="T23">
        <v>6</v>
      </c>
      <c r="U23" t="str">
        <f>_xlfn.XLOOKUP(Infill[[#This Row],[Z-N]],Rating[N],Rating[Name])</f>
        <v>High</v>
      </c>
      <c r="V23" t="str">
        <f>_xlfn.XLOOKUP(Infill[[#This Row],[Z-N]],Rating[N],Rating[level-to-better])</f>
        <v>![level-to-better-6](https://github.com/OrcaSlicer/OrcaSlicer_WIKI/blob/main/images/misc/level-to-better-6.svg?raw=true)</v>
      </c>
      <c r="W23" s="11">
        <f ca="1">_xlfn.XLOOKUP(Infill[[#This Row],[infill]],Tabla7[infill],Tabla7[% 2 Sigma])</f>
        <v>0.68529357308498673</v>
      </c>
      <c r="X23" t="str">
        <f ca="1">_xlfn.XLOOKUP(Infill[[#This Row],[% 2 Sigma]],AbsRating[Max %],AbsRating[Name],,1)</f>
        <v>Possibly Noticeable</v>
      </c>
      <c r="Y23" t="str">
        <f ca="1">_xlfn.XLOOKUP(Infill[[#This Row],[% 2 Sigma]],AbsRating[Max %],AbsRating[icon],,1)</f>
        <v>![level-to-worse-5](https://github.com/OrcaSlicer/OrcaSlicer_WIKI/blob/main/images/misc/level-to-worse-5.svg?raw=true)</v>
      </c>
      <c r="Z23" s="2" t="s">
        <v>72</v>
      </c>
      <c r="AA23">
        <f>_xlfn.XLOOKUP(Infill[[#This Row],[infill]],Tabla7[infill],Tabla7[g])</f>
        <v>151.50399999999999</v>
      </c>
      <c r="AB23" s="2">
        <f>Infill[[#This Row],[g]]/(997.25*0.15)</f>
        <v>1.0128118993899891</v>
      </c>
      <c r="AC23" s="2" t="str">
        <f>_xlfn.XLOOKUP(Infill[[#This Row],[% Effective]],Rating[Max %],Rating[Name],,1)</f>
        <v>Normal</v>
      </c>
      <c r="AD23" s="2" t="str">
        <f>_xlfn.XLOOKUP(Infill[[#This Row],[% Effective]],Rating[Max %],Rating[level-to-worse],,1)</f>
        <v>![level-to-worse-4](https://github.com/OrcaSlicer/OrcaSlicer_WIKI/blob/main/images/misc/level-to-worse-4.svg?raw=true)</v>
      </c>
      <c r="AE23">
        <f>_xlfn.XLOOKUP(Infill[[#This Row],[infill]],Tabla7[infill],Tabla7[Total Time])</f>
        <v>446.94600000000003</v>
      </c>
      <c r="AF23" s="2">
        <f>Infill[[#This Row],[Total Time]]/AVERAGEIFS(Infill[Total Time],Infill[Material Usage Icon],_xlfn.XLOOKUP("Normal",Rating[Name],Rating[level-to-worse]))</f>
        <v>1.4821343814250163</v>
      </c>
      <c r="AG23" s="2" t="str">
        <f>_xlfn.XLOOKUP(Infill[[#This Row],[t prom]],Rating[Max %],Rating[Name],,1)</f>
        <v>High</v>
      </c>
      <c r="AH23" s="2" t="str">
        <f>_xlfn.XLOOKUP(Infill[[#This Row],[t prom]],Rating[Max %],Rating[level-to-worse],,1)</f>
        <v>![level-to-worse-6](https://github.com/OrcaSlicer/OrcaSlicer_WIKI/blob/main/images/misc/level-to-worse-6.svg?raw=true)</v>
      </c>
      <c r="AI23" s="3">
        <f>Infill[[#This Row],[g]]/Infill[[#This Row],[Total Time]]</f>
        <v>0.3389760731721505</v>
      </c>
      <c r="AJ23" s="2">
        <f>Infill[[#This Row],[g/t]]/AVERAGEIFS(Infill[g/t],Infill[Material Usage Icon],_xlfn.XLOOKUP("Normal",Rating[Name],Rating[level-to-worse]))</f>
        <v>0.61730348622755682</v>
      </c>
      <c r="AK23" s="2" t="str">
        <f>_xlfn.XLOOKUP(Infill[[#This Row],[g/t prom]],Rating[Max %],Rating[Name],,1)</f>
        <v>Low</v>
      </c>
      <c r="AL23" s="1" t="str">
        <f>_xlfn.XLOOKUP(Infill[[#This Row],[g/t prom]],Rating[Max %],Rating[level-to-better],,1)</f>
        <v>![level-to-better-2](https://github.com/OrcaSlicer/OrcaSlicer_WIKI/blob/main/images/misc/level-to-better-2.svg?raw=true)</v>
      </c>
      <c r="AM23" s="2" t="str">
        <f>SUBSTITUTE(LOWER(Infill[[#This Row],[name]])," ","-")</f>
        <v>tpms-d</v>
      </c>
      <c r="AN23" t="str">
        <f>"param_"&amp;Infill[[#This Row],[infill]]</f>
        <v>param_tpmsd</v>
      </c>
      <c r="AO23" t="str">
        <f>"&lt;img alt=""" &amp; Infill[[#This Row],[SVG]] &amp; """ src=""https://github.com/OrcaSlicer/OrcaSlicer/blob/main/resources/images/" &amp; Infill[[#This Row],[SVG]] &amp; ".svg?raw=true"" height=""45""&gt;"</f>
        <v>&lt;img alt="param_tpmsd" src="https://github.com/OrcaSlicer/OrcaSlicer/blob/main/resources/images/param_tpmsd.svg?raw=true" height="45"&gt;</v>
      </c>
      <c r="AP23" s="2" t="str">
        <f>"["&amp;Infill[[#This Row],[name]]&amp;"](#"&amp;Infill[[#This Row],[nameMD]]&amp;")"</f>
        <v>[TPMS-D](#tpms-d)</v>
      </c>
      <c r="AQ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![infill-top-tpms-d](https://github.com/OrcaSlicer/OrcaSlicer_WIKI/blob/main/images/fill/infill-top-tpms-d.png?raw=true)
</v>
      </c>
      <c r="AS23" t="str">
        <f>IF(OR(Infill[[#This Row],[Is Infill]],Infill[[#This Row],[Is Surface]])," { """&amp;Infill[[#This Row],[infill]]&amp;""", "&amp;Infill[[#This Row],[ip]]&amp;" },","")</f>
        <v xml:space="preserve"> { "tpmsd", ipTpmsD },</v>
      </c>
      <c r="AT23" t="str">
        <f>IF(OR(Infill[[#This Row],[Is Infill]],Infill[[#This Row],[Is Surface]]),"def-&gt;enum_values.push_back("""&amp;Infill[[#This Row],[infill]]&amp;""");","")</f>
        <v>def-&gt;enum_values.push_back("tpmsd");</v>
      </c>
      <c r="AU23" t="str">
        <f>IF(OR(Infill[[#This Row],[Is Infill]],Infill[[#This Row],[Is Surface]]),"def-&gt;enum_labels.push_back(L("""&amp;Infill[[#This Row],[name]]&amp;"""));","")</f>
        <v>def-&gt;enum_labels.push_back(L("TPMS-D"));</v>
      </c>
      <c r="AW23" t="str">
        <f>Infill[[#This Row],[SVG Link]]</f>
        <v>&lt;img alt="param_tpmsd" src="https://github.com/OrcaSlicer/OrcaSlicer/blob/main/resources/images/param_tpmsd.svg?raw=true" height="45"&gt;</v>
      </c>
      <c r="AX23" s="1" t="str">
        <f>"["&amp;Infill[[#This Row],[name]]&amp;"](strength_settings_patterns#"&amp;Infill[[#This Row],[nameMD]]&amp;")"</f>
        <v>[TPMS-D](strength_settings_patterns#tpms-d)</v>
      </c>
      <c r="AY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3" s="1" t="str">
        <f>Infill[[#This Row],[Material Usage Icon]]</f>
        <v>![level-to-worse-4](https://github.com/OrcaSlicer/OrcaSlicer_WIKI/blob/main/images/misc/level-to-worse-4.svg?raw=true)</v>
      </c>
      <c r="BA23" s="1" t="str">
        <f>Infill[[#This Row],[Print Time Icon]]</f>
        <v>![level-to-worse-6](https://github.com/OrcaSlicer/OrcaSlicer_WIKI/blob/main/images/misc/level-to-worse-6.svg?raw=true)</v>
      </c>
      <c r="BB23" t="str">
        <f ca="1">Infill[[#This Row],[Layer time Variability Icon]]</f>
        <v>![level-to-worse-5](https://github.com/OrcaSlicer/OrcaSlicer_WIKI/blob/main/images/misc/level-to-worse-5.svg?raw=true)</v>
      </c>
      <c r="BC23" s="1" t="str">
        <f>Infill[[#This Row],[Multiline]]</f>
        <v>[Classic](strength_settings_infill#classic-strategy)</v>
      </c>
    </row>
    <row r="24" spans="2:55" ht="330" x14ac:dyDescent="0.25">
      <c r="E24">
        <v>22</v>
      </c>
      <c r="F24" t="b">
        <v>1</v>
      </c>
      <c r="G24" t="b">
        <v>0</v>
      </c>
      <c r="H24" t="b">
        <v>0</v>
      </c>
      <c r="I24" t="s">
        <v>162</v>
      </c>
      <c r="J24" t="s">
        <v>152</v>
      </c>
      <c r="K24" t="s">
        <v>160</v>
      </c>
      <c r="L24" t="s">
        <v>161</v>
      </c>
      <c r="M24" t="s">
        <v>217</v>
      </c>
      <c r="N24" t="s">
        <v>216</v>
      </c>
      <c r="O24" t="s">
        <v>216</v>
      </c>
      <c r="P24" s="8" t="s">
        <v>165</v>
      </c>
      <c r="Q24">
        <v>5</v>
      </c>
      <c r="R24" t="str">
        <f>_xlfn.XLOOKUP(Infill[[#This Row],[XY-N]],Rating[N],Rating[Name])</f>
        <v>Normal-High</v>
      </c>
      <c r="S24" t="str">
        <f>_xlfn.XLOOKUP(Infill[[#This Row],[XY-N]],Rating[N],Rating[level-to-better])</f>
        <v>![level-to-better-5](https://github.com/OrcaSlicer/OrcaSlicer_WIKI/blob/main/images/misc/level-to-better-5.svg?raw=true)</v>
      </c>
      <c r="T24">
        <v>5</v>
      </c>
      <c r="U24" t="str">
        <f>_xlfn.XLOOKUP(Infill[[#This Row],[Z-N]],Rating[N],Rating[Name])</f>
        <v>Normal-High</v>
      </c>
      <c r="V24" t="str">
        <f>_xlfn.XLOOKUP(Infill[[#This Row],[Z-N]],Rating[N],Rating[level-to-better])</f>
        <v>![level-to-better-5](https://github.com/OrcaSlicer/OrcaSlicer_WIKI/blob/main/images/misc/level-to-better-5.svg?raw=true)</v>
      </c>
      <c r="W24" s="11">
        <f ca="1">_xlfn.XLOOKUP(Infill[[#This Row],[infill]],Tabla7[infill],Tabla7[% 2 Sigma])</f>
        <v>0.33055056543794348</v>
      </c>
      <c r="X24" t="str">
        <f ca="1">_xlfn.XLOOKUP(Infill[[#This Row],[% 2 Sigma]],AbsRating[Max %],AbsRating[Name],,1)</f>
        <v>Possibly Noticeable</v>
      </c>
      <c r="Y24" t="str">
        <f ca="1">_xlfn.XLOOKUP(Infill[[#This Row],[% 2 Sigma]],AbsRating[Max %],AbsRating[icon],,1)</f>
        <v>![level-to-worse-5](https://github.com/OrcaSlicer/OrcaSlicer_WIKI/blob/main/images/misc/level-to-worse-5.svg?raw=true)</v>
      </c>
      <c r="Z24" s="2" t="s">
        <v>72</v>
      </c>
      <c r="AA24">
        <f>_xlfn.XLOOKUP(Infill[[#This Row],[infill]],Tabla7[infill],Tabla7[g])</f>
        <v>151.93199999999999</v>
      </c>
      <c r="AB24" s="2">
        <f>Infill[[#This Row],[g]]/(997.25*0.15)</f>
        <v>1.0156731010278264</v>
      </c>
      <c r="AC24" s="2" t="str">
        <f>_xlfn.XLOOKUP(Infill[[#This Row],[% Effective]],Rating[Max %],Rating[Name],,1)</f>
        <v>Normal</v>
      </c>
      <c r="AD24" s="2" t="str">
        <f>_xlfn.XLOOKUP(Infill[[#This Row],[% Effective]],Rating[Max %],Rating[level-to-worse],,1)</f>
        <v>![level-to-worse-4](https://github.com/OrcaSlicer/OrcaSlicer_WIKI/blob/main/images/misc/level-to-worse-4.svg?raw=true)</v>
      </c>
      <c r="AE24">
        <f>_xlfn.XLOOKUP(Infill[[#This Row],[infill]],Tabla7[infill],Tabla7[Total Time])</f>
        <v>595.01499999999999</v>
      </c>
      <c r="AF24" s="2">
        <f>Infill[[#This Row],[Total Time]]/AVERAGEIFS(Infill[Total Time],Infill[Material Usage Icon],_xlfn.XLOOKUP("Normal",Rating[Name],Rating[level-to-worse]))</f>
        <v>1.9731515417155674</v>
      </c>
      <c r="AG24" s="2" t="str">
        <f>_xlfn.XLOOKUP(Infill[[#This Row],[t prom]],Rating[Max %],Rating[Name],,1)</f>
        <v>Ultra-High</v>
      </c>
      <c r="AH24" s="2" t="str">
        <f>_xlfn.XLOOKUP(Infill[[#This Row],[t prom]],Rating[Max %],Rating[level-to-worse],,1)</f>
        <v>![level-to-worse-8](https://github.com/OrcaSlicer/OrcaSlicer_WIKI/blob/main/images/misc/level-to-worse-8.svg?raw=true)</v>
      </c>
      <c r="AI24" s="3">
        <f>Infill[[#This Row],[g]]/Infill[[#This Row],[Total Time]]</f>
        <v>0.25534146197995006</v>
      </c>
      <c r="AJ24" s="2">
        <f>Infill[[#This Row],[g/t]]/AVERAGEIFS(Infill[g/t],Infill[Material Usage Icon],_xlfn.XLOOKUP("Normal",Rating[Name],Rating[level-to-worse]))</f>
        <v>0.4649979368266936</v>
      </c>
      <c r="AK24" s="2" t="str">
        <f>_xlfn.XLOOKUP(Infill[[#This Row],[g/t prom]],Rating[Max %],Rating[Name],,1)</f>
        <v>Low</v>
      </c>
      <c r="AL24" s="2" t="str">
        <f>_xlfn.XLOOKUP(Infill[[#This Row],[g/t prom]],Rating[Max %],Rating[level-to-better],,1)</f>
        <v>![level-to-better-2](https://github.com/OrcaSlicer/OrcaSlicer_WIKI/blob/main/images/misc/level-to-better-2.svg?raw=true)</v>
      </c>
      <c r="AM24" s="2" t="str">
        <f>SUBSTITUTE(LOWER(Infill[[#This Row],[name]])," ","-")</f>
        <v>tpms-fk</v>
      </c>
      <c r="AN24" t="str">
        <f>"param_"&amp;Infill[[#This Row],[infill]]</f>
        <v>param_tpmsfk</v>
      </c>
      <c r="AO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P24" s="2" t="str">
        <f>"["&amp;Infill[[#This Row],[name]]&amp;"](#"&amp;Infill[[#This Row],[nameMD]]&amp;")"</f>
        <v>[TPMS-FK](#tpms-fk)</v>
      </c>
      <c r="AQ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![infill-top-tpms-fk](https://github.com/OrcaSlicer/OrcaSlicer_WIKI/blob/main/images/fill/infill-top-tpms-fk.png?raw=true)
</v>
      </c>
      <c r="AS24" s="5" t="str">
        <f>IF(OR(Infill[[#This Row],[Is Infill]],Infill[[#This Row],[Is Surface]])," { """&amp;Infill[[#This Row],[infill]]&amp;""", "&amp;Infill[[#This Row],[ip]]&amp;" },","")</f>
        <v xml:space="preserve"> { "tpmsfk", ipTpmsFK },</v>
      </c>
      <c r="AT24" s="5" t="str">
        <f>IF(OR(Infill[[#This Row],[Is Infill]],Infill[[#This Row],[Is Surface]]),"def-&gt;enum_values.push_back("""&amp;Infill[[#This Row],[infill]]&amp;""");","")</f>
        <v>def-&gt;enum_values.push_back("tpmsfk");</v>
      </c>
      <c r="AU24" s="5" t="str">
        <f>IF(OR(Infill[[#This Row],[Is Infill]],Infill[[#This Row],[Is Surface]]),"def-&gt;enum_labels.push_back(L("""&amp;Infill[[#This Row],[name]]&amp;"""));","")</f>
        <v>def-&gt;enum_labels.push_back(L("TPMS-FK"));</v>
      </c>
      <c r="AW24" t="str">
        <f>Infill[[#This Row],[SVG Link]]</f>
        <v>&lt;img alt="param_tpmsfk" src="https://github.com/OrcaSlicer/OrcaSlicer/blob/main/resources/images/param_tpmsfk.svg?raw=true" height="45"&gt;</v>
      </c>
      <c r="AX24" s="1" t="str">
        <f>"["&amp;Infill[[#This Row],[name]]&amp;"](strength_settings_patterns#"&amp;Infill[[#This Row],[nameMD]]&amp;")"</f>
        <v>[TPMS-FK](strength_settings_patterns#tpms-fk)</v>
      </c>
      <c r="AY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4" s="1" t="str">
        <f>Infill[[#This Row],[Material Usage Icon]]</f>
        <v>![level-to-worse-4](https://github.com/OrcaSlicer/OrcaSlicer_WIKI/blob/main/images/misc/level-to-worse-4.svg?raw=true)</v>
      </c>
      <c r="BA24" s="1" t="str">
        <f>Infill[[#This Row],[Print Time Icon]]</f>
        <v>![level-to-worse-8](https://github.com/OrcaSlicer/OrcaSlicer_WIKI/blob/main/images/misc/level-to-worse-8.svg?raw=true)</v>
      </c>
      <c r="BB24" t="str">
        <f ca="1">Infill[[#This Row],[Layer time Variability Icon]]</f>
        <v>![level-to-worse-5](https://github.com/OrcaSlicer/OrcaSlicer_WIKI/blob/main/images/misc/level-to-worse-5.svg?raw=true)</v>
      </c>
      <c r="BC24" s="1" t="str">
        <f>Infill[[#This Row],[Multiline]]</f>
        <v>[Classic](strength_settings_infill#classic-strategy)</v>
      </c>
    </row>
    <row r="25" spans="2:55" ht="409.5" x14ac:dyDescent="0.25">
      <c r="E25">
        <v>23</v>
      </c>
      <c r="F25" t="b">
        <v>1</v>
      </c>
      <c r="G25" t="b">
        <v>0</v>
      </c>
      <c r="H25" t="b">
        <v>0</v>
      </c>
      <c r="I25" t="s">
        <v>7</v>
      </c>
      <c r="J25" t="s">
        <v>152</v>
      </c>
      <c r="K25" t="s">
        <v>94</v>
      </c>
      <c r="L25" t="s">
        <v>123</v>
      </c>
      <c r="M25" t="s">
        <v>217</v>
      </c>
      <c r="N25" t="s">
        <v>216</v>
      </c>
      <c r="O25" t="s">
        <v>216</v>
      </c>
      <c r="P25" s="6" t="s">
        <v>244</v>
      </c>
      <c r="Q25">
        <v>6</v>
      </c>
      <c r="R25" t="str">
        <f>_xlfn.XLOOKUP(Infill[[#This Row],[XY-N]],Rating[N],Rating[Name])</f>
        <v>High</v>
      </c>
      <c r="S25" t="str">
        <f>_xlfn.XLOOKUP(Infill[[#This Row],[XY-N]],Rating[N],Rating[level-to-better])</f>
        <v>![level-to-better-6](https://github.com/OrcaSlicer/OrcaSlicer_WIKI/blob/main/images/misc/level-to-better-6.svg?raw=true)</v>
      </c>
      <c r="T25">
        <v>6</v>
      </c>
      <c r="U25" t="str">
        <f>_xlfn.XLOOKUP(Infill[[#This Row],[Z-N]],Rating[N],Rating[Name])</f>
        <v>High</v>
      </c>
      <c r="V25" t="str">
        <f>_xlfn.XLOOKUP(Infill[[#This Row],[Z-N]],Rating[N],Rating[level-to-better])</f>
        <v>![level-to-better-6](https://github.com/OrcaSlicer/OrcaSlicer_WIKI/blob/main/images/misc/level-to-better-6.svg?raw=true)</v>
      </c>
      <c r="W25" s="11">
        <f ca="1">_xlfn.XLOOKUP(Infill[[#This Row],[infill]],Tabla7[infill],Tabla7[% 2 Sigma])</f>
        <v>0.19491611495609784</v>
      </c>
      <c r="X25" t="str">
        <f ca="1">_xlfn.XLOOKUP(Infill[[#This Row],[% 2 Sigma]],AbsRating[Max %],AbsRating[Name],,1)</f>
        <v>Unnoticeable</v>
      </c>
      <c r="Y25" t="str">
        <f ca="1">_xlfn.XLOOKUP(Infill[[#This Row],[% 2 Sigma]],AbsRating[Max %],AbsRating[icon],,1)</f>
        <v>![level-to-worse-2](https://github.com/OrcaSlicer/OrcaSlicer_WIKI/blob/main/images/misc/level-to-worse-2.svg?raw=true)</v>
      </c>
      <c r="Z25" s="2" t="s">
        <v>72</v>
      </c>
      <c r="AA25">
        <f>_xlfn.XLOOKUP(Infill[[#This Row],[infill]],Tabla7[infill],Tabla7[g])</f>
        <v>141.739</v>
      </c>
      <c r="AB25" s="2">
        <f>Infill[[#This Row],[g]]/(997.25*0.15)</f>
        <v>0.94753238071362911</v>
      </c>
      <c r="AC25" s="2" t="str">
        <f>_xlfn.XLOOKUP(Infill[[#This Row],[% Effective]],Rating[Max %],Rating[Name],,1)</f>
        <v>Normal</v>
      </c>
      <c r="AD25" s="2" t="str">
        <f>_xlfn.XLOOKUP(Infill[[#This Row],[% Effective]],Rating[Max %],Rating[level-to-worse],,1)</f>
        <v>![level-to-worse-4](https://github.com/OrcaSlicer/OrcaSlicer_WIKI/blob/main/images/misc/level-to-worse-4.svg?raw=true)</v>
      </c>
      <c r="AE25">
        <f>_xlfn.XLOOKUP(Infill[[#This Row],[infill]],Tabla7[infill],Tabla7[Total Time])</f>
        <v>609.35799999999995</v>
      </c>
      <c r="AF25" s="2">
        <f>Infill[[#This Row],[Total Time]]/AVERAGEIFS(Infill[Total Time],Infill[Material Usage Icon],_xlfn.XLOOKUP("Normal",Rating[Name],Rating[level-to-worse]))</f>
        <v>2.0207149015683883</v>
      </c>
      <c r="AG25" s="2" t="str">
        <f>_xlfn.XLOOKUP(Infill[[#This Row],[t prom]],Rating[Max %],Rating[Name],,1)</f>
        <v>Ultra-High</v>
      </c>
      <c r="AH25" s="2" t="str">
        <f>_xlfn.XLOOKUP(Infill[[#This Row],[t prom]],Rating[Max %],Rating[level-to-worse],,1)</f>
        <v>![level-to-worse-8](https://github.com/OrcaSlicer/OrcaSlicer_WIKI/blob/main/images/misc/level-to-worse-8.svg?raw=true)</v>
      </c>
      <c r="AI25" s="3">
        <f>Infill[[#This Row],[g]]/Infill[[#This Row],[Total Time]]</f>
        <v>0.23260382238355781</v>
      </c>
      <c r="AJ25" s="2">
        <f>Infill[[#This Row],[g/t]]/AVERAGEIFS(Infill[g/t],Infill[Material Usage Icon],_xlfn.XLOOKUP("Normal",Rating[Name],Rating[level-to-worse]))</f>
        <v>0.42359081313182911</v>
      </c>
      <c r="AK25" s="2" t="str">
        <f>_xlfn.XLOOKUP(Infill[[#This Row],[g/t prom]],Rating[Max %],Rating[Name],,1)</f>
        <v>Low</v>
      </c>
      <c r="AL25" s="1" t="str">
        <f>_xlfn.XLOOKUP(Infill[[#This Row],[g/t prom]],Rating[Max %],Rating[level-to-better],,1)</f>
        <v>![level-to-better-2](https://github.com/OrcaSlicer/OrcaSlicer_WIKI/blob/main/images/misc/level-to-better-2.svg?raw=true)</v>
      </c>
      <c r="AM25" s="2" t="str">
        <f>SUBSTITUTE(LOWER(Infill[[#This Row],[name]])," ","-")</f>
        <v>gyroid</v>
      </c>
      <c r="AN25" t="str">
        <f>"param_"&amp;Infill[[#This Row],[infill]]</f>
        <v>param_gyroid</v>
      </c>
      <c r="AO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P25" s="2" t="str">
        <f>"["&amp;Infill[[#This Row],[name]]&amp;"](#"&amp;Infill[[#This Row],[nameMD]]&amp;")"</f>
        <v>[Gyroid](#gyroid)</v>
      </c>
      <c r="AQ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![infill-top-gyroid](https://github.com/OrcaSlicer/OrcaSlicer_WIKI/blob/main/images/fill/infill-top-gyroid.png?raw=true)
</v>
      </c>
      <c r="AS25" t="str">
        <f>IF(OR(Infill[[#This Row],[Is Infill]],Infill[[#This Row],[Is Surface]])," { """&amp;Infill[[#This Row],[infill]]&amp;""", "&amp;Infill[[#This Row],[ip]]&amp;" },","")</f>
        <v xml:space="preserve"> { "gyroid", ipGyroid },</v>
      </c>
      <c r="AT25" t="str">
        <f>IF(OR(Infill[[#This Row],[Is Infill]],Infill[[#This Row],[Is Surface]]),"def-&gt;enum_values.push_back("""&amp;Infill[[#This Row],[infill]]&amp;""");","")</f>
        <v>def-&gt;enum_values.push_back("gyroid");</v>
      </c>
      <c r="AU25" t="str">
        <f>IF(OR(Infill[[#This Row],[Is Infill]],Infill[[#This Row],[Is Surface]]),"def-&gt;enum_labels.push_back(L("""&amp;Infill[[#This Row],[name]]&amp;"""));","")</f>
        <v>def-&gt;enum_labels.push_back(L("Gyroid"));</v>
      </c>
      <c r="AW25" t="str">
        <f>Infill[[#This Row],[SVG Link]]</f>
        <v>&lt;img alt="param_gyroid" src="https://github.com/OrcaSlicer/OrcaSlicer/blob/main/resources/images/param_gyroid.svg?raw=true" height="45"&gt;</v>
      </c>
      <c r="AX25" s="1" t="str">
        <f>"["&amp;Infill[[#This Row],[name]]&amp;"](strength_settings_patterns#"&amp;Infill[[#This Row],[nameMD]]&amp;")"</f>
        <v>[Gyroid](strength_settings_patterns#gyroid)</v>
      </c>
      <c r="AY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5" s="1" t="str">
        <f>Infill[[#This Row],[Material Usage Icon]]</f>
        <v>![level-to-worse-4](https://github.com/OrcaSlicer/OrcaSlicer_WIKI/blob/main/images/misc/level-to-worse-4.svg?raw=true)</v>
      </c>
      <c r="BA25" s="1" t="str">
        <f>Infill[[#This Row],[Print Time Icon]]</f>
        <v>![level-to-worse-8](https://github.com/OrcaSlicer/OrcaSlicer_WIKI/blob/main/images/misc/level-to-worse-8.svg?raw=true)</v>
      </c>
      <c r="BB25" t="str">
        <f ca="1">Infill[[#This Row],[Layer time Variability Icon]]</f>
        <v>![level-to-worse-2](https://github.com/OrcaSlicer/OrcaSlicer_WIKI/blob/main/images/misc/level-to-worse-2.svg?raw=true)</v>
      </c>
      <c r="BC25" s="1" t="str">
        <f>Infill[[#This Row],[Multiline]]</f>
        <v>[Classic](strength_settings_infill#classic-strategy)</v>
      </c>
    </row>
    <row r="26" spans="2:55" ht="360" x14ac:dyDescent="0.25">
      <c r="E26">
        <v>24</v>
      </c>
      <c r="F26" t="b">
        <v>1</v>
      </c>
      <c r="G26" t="b">
        <v>1</v>
      </c>
      <c r="H26" t="b">
        <v>1</v>
      </c>
      <c r="I26" t="s">
        <v>0</v>
      </c>
      <c r="J26" t="s">
        <v>181</v>
      </c>
      <c r="K26" t="s">
        <v>87</v>
      </c>
      <c r="L26" t="s">
        <v>117</v>
      </c>
      <c r="M26" t="s">
        <v>217</v>
      </c>
      <c r="N26" t="s">
        <v>216</v>
      </c>
      <c r="O26" t="s">
        <v>243</v>
      </c>
      <c r="P26" s="8" t="s">
        <v>51</v>
      </c>
      <c r="Q26" s="5">
        <v>2</v>
      </c>
      <c r="R26" s="5" t="str">
        <f>_xlfn.XLOOKUP(Infill[[#This Row],[XY-N]],Rating[N],Rating[Name])</f>
        <v>Low</v>
      </c>
      <c r="S26" t="str">
        <f>_xlfn.XLOOKUP(Infill[[#This Row],[XY-N]],Rating[N],Rating[level-to-better])</f>
        <v>![level-to-better-2](https://github.com/OrcaSlicer/OrcaSlicer_WIKI/blob/main/images/misc/level-to-better-2.svg?raw=true)</v>
      </c>
      <c r="T26">
        <v>4</v>
      </c>
      <c r="U26" t="str">
        <f>_xlfn.XLOOKUP(Infill[[#This Row],[Z-N]],Rating[N],Rating[Name])</f>
        <v>Normal</v>
      </c>
      <c r="V26" t="str">
        <f>_xlfn.XLOOKUP(Infill[[#This Row],[Z-N]],Rating[N],Rating[level-to-better])</f>
        <v>![level-to-better-4](https://github.com/OrcaSlicer/OrcaSlicer_WIKI/blob/main/images/misc/level-to-better-4.svg?raw=true)</v>
      </c>
      <c r="W26" s="11">
        <f ca="1">_xlfn.XLOOKUP(Infill[[#This Row],[infill]],Tabla7[infill],Tabla7[% 2 Sigma])</f>
        <v>8.4987052864082813E-5</v>
      </c>
      <c r="X26" t="str">
        <f ca="1">_xlfn.XLOOKUP(Infill[[#This Row],[% 2 Sigma]],AbsRating[Max %],AbsRating[Name],,1)</f>
        <v>None</v>
      </c>
      <c r="Y26" t="str">
        <f ca="1">_xlfn.XLOOKUP(Infill[[#This Row],[% 2 Sigma]],AbsRating[Max %],AbsRating[icon],,1)</f>
        <v>![level-to-worse-0](https://github.com/OrcaSlicer/OrcaSlicer_WIKI/blob/main/images/misc/level-to-worse-0.svg?raw=true)</v>
      </c>
      <c r="Z26" s="2" t="s">
        <v>72</v>
      </c>
      <c r="AA26">
        <f>_xlfn.XLOOKUP(Infill[[#This Row],[infill]],Tabla7[infill],Tabla7[g])</f>
        <v>157.10900000000001</v>
      </c>
      <c r="AB26" s="2">
        <f>Infill[[#This Row],[g]]/(997.25*0.15)</f>
        <v>1.0502816077546586</v>
      </c>
      <c r="AC26" s="2" t="str">
        <f>_xlfn.XLOOKUP(Infill[[#This Row],[% Effective]],Rating[Max %],Rating[Name],,1)</f>
        <v>Normal</v>
      </c>
      <c r="AD26" s="2" t="str">
        <f>_xlfn.XLOOKUP(Infill[[#This Row],[% Effective]],Rating[Max %],Rating[level-to-worse],,1)</f>
        <v>![level-to-worse-4](https://github.com/OrcaSlicer/OrcaSlicer_WIKI/blob/main/images/misc/level-to-worse-4.svg?raw=true)</v>
      </c>
      <c r="AE26">
        <f>_xlfn.XLOOKUP(Infill[[#This Row],[infill]],Tabla7[infill],Tabla7[Total Time])</f>
        <v>238.51</v>
      </c>
      <c r="AF26" s="2">
        <f>Infill[[#This Row],[Total Time]]/AVERAGEIFS(Infill[Total Time],Infill[Material Usage Icon],_xlfn.XLOOKUP("Normal",Rating[Name],Rating[level-to-worse]))</f>
        <v>0.79093194997534511</v>
      </c>
      <c r="AG26" s="2" t="str">
        <f>_xlfn.XLOOKUP(Infill[[#This Row],[t prom]],Rating[Max %],Rating[Name],,1)</f>
        <v>Normal-Low</v>
      </c>
      <c r="AH26" s="2" t="str">
        <f>_xlfn.XLOOKUP(Infill[[#This Row],[t prom]],Rating[Max %],Rating[level-to-worse],,1)</f>
        <v>![level-to-worse-3](https://github.com/OrcaSlicer/OrcaSlicer_WIKI/blob/main/images/misc/level-to-worse-3.svg?raw=true)</v>
      </c>
      <c r="AI26" s="3">
        <f>Infill[[#This Row],[g]]/Infill[[#This Row],[Total Time]]</f>
        <v>0.65871032661104367</v>
      </c>
      <c r="AJ26" s="2">
        <f>Infill[[#This Row],[g/t]]/AVERAGEIFS(Infill[g/t],Infill[Material Usage Icon],_xlfn.XLOOKUP("Normal",Rating[Name],Rating[level-to-worse]))</f>
        <v>1.1995660260793213</v>
      </c>
      <c r="AK26" s="2" t="str">
        <f>_xlfn.XLOOKUP(Infill[[#This Row],[g/t prom]],Rating[Max %],Rating[Name],,1)</f>
        <v>Normal-High</v>
      </c>
      <c r="AL26" s="1" t="str">
        <f>_xlfn.XLOOKUP(Infill[[#This Row],[g/t prom]],Rating[Max %],Rating[level-to-better],,1)</f>
        <v>![level-to-better-5](https://github.com/OrcaSlicer/OrcaSlicer_WIKI/blob/main/images/misc/level-to-better-5.svg?raw=true)</v>
      </c>
      <c r="AM26" s="2" t="str">
        <f>SUBSTITUTE(LOWER(Infill[[#This Row],[name]])," ","-")</f>
        <v>concentric</v>
      </c>
      <c r="AN26" t="str">
        <f>"param_"&amp;Infill[[#This Row],[infill]]</f>
        <v>param_concentric</v>
      </c>
      <c r="AO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P26" s="2" t="str">
        <f>"["&amp;Infill[[#This Row],[name]]&amp;"](#"&amp;Infill[[#This Row],[nameMD]]&amp;")"</f>
        <v>[Concentric](#concentric)</v>
      </c>
      <c r="AQ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S26" t="str">
        <f>IF(OR(Infill[[#This Row],[Is Infill]],Infill[[#This Row],[Is Surface]])," { """&amp;Infill[[#This Row],[infill]]&amp;""", "&amp;Infill[[#This Row],[ip]]&amp;" },","")</f>
        <v xml:space="preserve"> { "concentric", ipConcentric },</v>
      </c>
      <c r="AT26" t="str">
        <f>IF(OR(Infill[[#This Row],[Is Infill]],Infill[[#This Row],[Is Surface]]),"def-&gt;enum_values.push_back("""&amp;Infill[[#This Row],[infill]]&amp;""");","")</f>
        <v>def-&gt;enum_values.push_back("concentric");</v>
      </c>
      <c r="AU26" t="str">
        <f>IF(OR(Infill[[#This Row],[Is Infill]],Infill[[#This Row],[Is Surface]]),"def-&gt;enum_labels.push_back(L("""&amp;Infill[[#This Row],[name]]&amp;"""));","")</f>
        <v>def-&gt;enum_labels.push_back(L("Concentric"));</v>
      </c>
      <c r="AW26" t="str">
        <f>Infill[[#This Row],[SVG Link]]</f>
        <v>&lt;img alt="param_concentric" src="https://github.com/OrcaSlicer/OrcaSlicer/blob/main/resources/images/param_concentric.svg?raw=true" height="45"&gt;</v>
      </c>
      <c r="AX26" s="1" t="str">
        <f>"["&amp;Infill[[#This Row],[name]]&amp;"](strength_settings_patterns#"&amp;Infill[[#This Row],[nameMD]]&amp;")"</f>
        <v>[Concentric](strength_settings_patterns#concentric)</v>
      </c>
      <c r="AY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6" s="1" t="str">
        <f>Infill[[#This Row],[Material Usage Icon]]</f>
        <v>![level-to-worse-4](https://github.com/OrcaSlicer/OrcaSlicer_WIKI/blob/main/images/misc/level-to-worse-4.svg?raw=true)</v>
      </c>
      <c r="BA26" s="1" t="str">
        <f>Infill[[#This Row],[Print Time Icon]]</f>
        <v>![level-to-worse-3](https://github.com/OrcaSlicer/OrcaSlicer_WIKI/blob/main/images/misc/level-to-worse-3.svg?raw=true)</v>
      </c>
      <c r="BB26" t="str">
        <f ca="1">Infill[[#This Row],[Layer time Variability Icon]]</f>
        <v>![level-to-worse-0](https://github.com/OrcaSlicer/OrcaSlicer_WIKI/blob/main/images/misc/level-to-worse-0.svg?raw=true)</v>
      </c>
      <c r="BC26" s="1" t="str">
        <f>Infill[[#This Row],[Multiline]]</f>
        <v>[Classic](strength_settings_infill#classic-strategy)</v>
      </c>
    </row>
    <row r="27" spans="2:55" ht="330" x14ac:dyDescent="0.25">
      <c r="E27">
        <v>24.5</v>
      </c>
      <c r="F27" t="b">
        <v>0</v>
      </c>
      <c r="G27" t="b">
        <v>1</v>
      </c>
      <c r="H27" t="b">
        <v>0</v>
      </c>
      <c r="I27" t="s">
        <v>248</v>
      </c>
      <c r="J27" t="s">
        <v>181</v>
      </c>
      <c r="K27" t="s">
        <v>249</v>
      </c>
      <c r="L27" t="s">
        <v>250</v>
      </c>
      <c r="M27" t="s">
        <v>215</v>
      </c>
      <c r="N27" t="s">
        <v>215</v>
      </c>
      <c r="O27" t="s">
        <v>215</v>
      </c>
      <c r="P27" s="8" t="s">
        <v>251</v>
      </c>
      <c r="Q27" s="5">
        <v>2</v>
      </c>
      <c r="R27" s="5" t="str">
        <f>_xlfn.XLOOKUP(Infill[[#This Row],[XY-N]],Rating[N],Rating[Name])</f>
        <v>Low</v>
      </c>
      <c r="S27" t="str">
        <f>_xlfn.XLOOKUP(Infill[[#This Row],[XY-N]],Rating[N],Rating[level-to-better])</f>
        <v>![level-to-better-2](https://github.com/OrcaSlicer/OrcaSlicer_WIKI/blob/main/images/misc/level-to-better-2.svg?raw=true)</v>
      </c>
      <c r="T27">
        <v>4</v>
      </c>
      <c r="U27" t="str">
        <f>_xlfn.XLOOKUP(Infill[[#This Row],[Z-N]],Rating[N],Rating[Name])</f>
        <v>Normal</v>
      </c>
      <c r="V27" t="str">
        <f>_xlfn.XLOOKUP(Infill[[#This Row],[Z-N]],Rating[N],Rating[level-to-better])</f>
        <v>![level-to-better-4](https://github.com/OrcaSlicer/OrcaSlicer_WIKI/blob/main/images/misc/level-to-better-4.svg?raw=true)</v>
      </c>
      <c r="W27" s="11">
        <f ca="1">_xlfn.XLOOKUP(Infill[[#This Row],[infill]],Tabla7[infill],Tabla7[% 2 Sigma])</f>
        <v>3.5450683571935926E-4</v>
      </c>
      <c r="X27" t="str">
        <f ca="1">_xlfn.XLOOKUP(Infill[[#This Row],[% 2 Sigma]],AbsRating[Max %],AbsRating[Name],,1)</f>
        <v>None</v>
      </c>
      <c r="Y27" t="str">
        <f ca="1">_xlfn.XLOOKUP(Infill[[#This Row],[% 2 Sigma]],AbsRating[Max %],AbsRating[icon],,1)</f>
        <v>![level-to-worse-0](https://github.com/OrcaSlicer/OrcaSlicer_WIKI/blob/main/images/misc/level-to-worse-0.svg?raw=true)</v>
      </c>
      <c r="Z27" s="2" t="s">
        <v>72</v>
      </c>
      <c r="AA27">
        <f>_xlfn.XLOOKUP(Infill[[#This Row],[infill]],Tabla7[infill],Tabla7[g])</f>
        <v>150.43</v>
      </c>
      <c r="AB27" s="2">
        <f>Infill[[#This Row],[g]]/(997.25*0.15)</f>
        <v>1.0056321550931728</v>
      </c>
      <c r="AC27" s="2" t="str">
        <f>_xlfn.XLOOKUP(Infill[[#This Row],[% Effective]],Rating[Max %],Rating[Name],,1)</f>
        <v>Normal</v>
      </c>
      <c r="AD27" s="2" t="str">
        <f>_xlfn.XLOOKUP(Infill[[#This Row],[% Effective]],Rating[Max %],Rating[level-to-worse],,1)</f>
        <v>![level-to-worse-4](https://github.com/OrcaSlicer/OrcaSlicer_WIKI/blob/main/images/misc/level-to-worse-4.svg?raw=true)</v>
      </c>
      <c r="AE27">
        <f>_xlfn.XLOOKUP(Infill[[#This Row],[infill]],Tabla7[infill],Tabla7[Total Time])</f>
        <v>233.80500000000001</v>
      </c>
      <c r="AF27" s="2">
        <f>Infill[[#This Row],[Total Time]]/AVERAGEIFS(Infill[Total Time],Infill[Material Usage Icon],_xlfn.XLOOKUP("Normal",Rating[Name],Rating[level-to-worse]))</f>
        <v>0.7753295231394306</v>
      </c>
      <c r="AG27" s="2" t="str">
        <f>_xlfn.XLOOKUP(Infill[[#This Row],[t prom]],Rating[Max %],Rating[Name],,1)</f>
        <v>Normal-Low</v>
      </c>
      <c r="AH27" s="2" t="str">
        <f>_xlfn.XLOOKUP(Infill[[#This Row],[t prom]],Rating[Max %],Rating[level-to-worse],,1)</f>
        <v>![level-to-worse-3](https://github.com/OrcaSlicer/OrcaSlicer_WIKI/blob/main/images/misc/level-to-worse-3.svg?raw=true)</v>
      </c>
      <c r="AI27" s="3">
        <f>Infill[[#This Row],[g]]/Infill[[#This Row],[Total Time]]</f>
        <v>0.64339941404161594</v>
      </c>
      <c r="AJ27" s="2">
        <f>Infill[[#This Row],[g/t]]/AVERAGEIFS(Infill[g/t],Infill[Material Usage Icon],_xlfn.XLOOKUP("Normal",Rating[Name],Rating[level-to-worse]))</f>
        <v>1.1716835870092543</v>
      </c>
      <c r="AK27" s="2" t="str">
        <f>_xlfn.XLOOKUP(Infill[[#This Row],[g/t prom]],Rating[Max %],Rating[Name],,1)</f>
        <v>Normal-High</v>
      </c>
      <c r="AL27" s="2" t="str">
        <f>_xlfn.XLOOKUP(Infill[[#This Row],[g/t prom]],Rating[Max %],Rating[level-to-better],,1)</f>
        <v>![level-to-better-5](https://github.com/OrcaSlicer/OrcaSlicer_WIKI/blob/main/images/misc/level-to-better-5.svg?raw=true)</v>
      </c>
      <c r="AM27" s="2" t="str">
        <f>SUBSTITUTE(LOWER(Infill[[#This Row],[name]])," ","-")</f>
        <v>spiral-inset</v>
      </c>
      <c r="AN27" s="2" t="str">
        <f>"param_"&amp;Infill[[#This Row],[infill]]</f>
        <v>param_spiralinset</v>
      </c>
      <c r="AO27" t="str">
        <f>"&lt;img alt=""" &amp; Infill[[#This Row],[SVG]] &amp; """ src=""https://github.com/OrcaSlicer/OrcaSlicer/blob/main/resources/images/" &amp; Infill[[#This Row],[SVG]] &amp; ".svg?raw=true"" height=""45""&gt;"</f>
        <v>&lt;img alt="param_spiralinset" src="https://github.com/OrcaSlicer/OrcaSlicer/blob/main/resources/images/param_spiralinset.svg?raw=true" height="45"&gt;</v>
      </c>
      <c r="AP27" s="2" t="str">
        <f>"["&amp;Infill[[#This Row],[name]]&amp;"](#"&amp;Infill[[#This Row],[nameMD]]&amp;")"</f>
        <v>[Spiral Inset](#spiral-inset)</v>
      </c>
      <c r="AQ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Spiral Inset
Version of [Concentric](#concentric) that joins its loops into one continuous spiral: each loop is cut short and runs straight into the next loop inside it, instead of being printed as a separate closed loop.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![infill-top-spiral-inset](https://github.com/OrcaSlicer/OrcaSlicer_WIKI/blob/main/images/fill/infill-top-spiral-inset.png?raw=true)
</v>
      </c>
      <c r="AS27" s="5" t="str">
        <f>IF(OR(Infill[[#This Row],[Is Infill]],Infill[[#This Row],[Is Surface]])," { """&amp;Infill[[#This Row],[infill]]&amp;""", "&amp;Infill[[#This Row],[ip]]&amp;" },","")</f>
        <v xml:space="preserve"> { "spiralinset", ipSpiralInset },</v>
      </c>
      <c r="AT27" s="5" t="str">
        <f>IF(OR(Infill[[#This Row],[Is Infill]],Infill[[#This Row],[Is Surface]]),"def-&gt;enum_values.push_back("""&amp;Infill[[#This Row],[infill]]&amp;""");","")</f>
        <v>def-&gt;enum_values.push_back("spiralinset");</v>
      </c>
      <c r="AU27" s="5" t="str">
        <f>IF(OR(Infill[[#This Row],[Is Infill]],Infill[[#This Row],[Is Surface]]),"def-&gt;enum_labels.push_back(L("""&amp;Infill[[#This Row],[name]]&amp;"""));","")</f>
        <v>def-&gt;enum_labels.push_back(L("Spiral Inset"));</v>
      </c>
      <c r="AW27" t="str">
        <f>Infill[[#This Row],[SVG Link]]</f>
        <v>&lt;img alt="param_spiralinset" src="https://github.com/OrcaSlicer/OrcaSlicer/blob/main/resources/images/param_spiralinset.svg?raw=true" height="45"&gt;</v>
      </c>
      <c r="AX27" s="1" t="str">
        <f>"["&amp;Infill[[#This Row],[name]]&amp;"](strength_settings_patterns#"&amp;Infill[[#This Row],[nameMD]]&amp;")"</f>
        <v>[Spiral Inset](strength_settings_patterns#spiral-inset)</v>
      </c>
      <c r="AY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7" s="1" t="str">
        <f>Infill[[#This Row],[Material Usage Icon]]</f>
        <v>![level-to-worse-4](https://github.com/OrcaSlicer/OrcaSlicer_WIKI/blob/main/images/misc/level-to-worse-4.svg?raw=true)</v>
      </c>
      <c r="BA27" s="1" t="str">
        <f>Infill[[#This Row],[Print Time Icon]]</f>
        <v>![level-to-worse-3](https://github.com/OrcaSlicer/OrcaSlicer_WIKI/blob/main/images/misc/level-to-worse-3.svg?raw=true)</v>
      </c>
      <c r="BB27" t="str">
        <f ca="1">Infill[[#This Row],[Layer time Variability Icon]]</f>
        <v>![level-to-worse-0](https://github.com/OrcaSlicer/OrcaSlicer_WIKI/blob/main/images/misc/level-to-worse-0.svg?raw=true)</v>
      </c>
      <c r="BC27" s="1" t="str">
        <f>Infill[[#This Row],[Multiline]]</f>
        <v>N/A</v>
      </c>
    </row>
    <row r="28" spans="2:55" ht="360" x14ac:dyDescent="0.25">
      <c r="E28">
        <v>25</v>
      </c>
      <c r="F28" t="b">
        <v>1</v>
      </c>
      <c r="G28" t="b">
        <v>1</v>
      </c>
      <c r="H28" t="b">
        <v>0</v>
      </c>
      <c r="I28" t="s">
        <v>13</v>
      </c>
      <c r="J28" t="s">
        <v>181</v>
      </c>
      <c r="K28" t="s">
        <v>102</v>
      </c>
      <c r="L28" t="s">
        <v>129</v>
      </c>
      <c r="M28" t="s">
        <v>217</v>
      </c>
      <c r="N28" t="s">
        <v>216</v>
      </c>
      <c r="O28" t="s">
        <v>243</v>
      </c>
      <c r="P28" s="6" t="s">
        <v>183</v>
      </c>
      <c r="Q28">
        <v>2</v>
      </c>
      <c r="R28" t="str">
        <f>_xlfn.XLOOKUP(Infill[[#This Row],[XY-N]],Rating[N],Rating[Name])</f>
        <v>Low</v>
      </c>
      <c r="S28" t="str">
        <f>_xlfn.XLOOKUP(Infill[[#This Row],[XY-N]],Rating[N],Rating[level-to-better])</f>
        <v>![level-to-better-2](https://github.com/OrcaSlicer/OrcaSlicer_WIKI/blob/main/images/misc/level-to-better-2.svg?raw=true)</v>
      </c>
      <c r="T28">
        <v>4</v>
      </c>
      <c r="U28" t="str">
        <f>_xlfn.XLOOKUP(Infill[[#This Row],[Z-N]],Rating[N],Rating[Name])</f>
        <v>Normal</v>
      </c>
      <c r="V28" t="str">
        <f>_xlfn.XLOOKUP(Infill[[#This Row],[Z-N]],Rating[N],Rating[level-to-better])</f>
        <v>![level-to-better-4](https://github.com/OrcaSlicer/OrcaSlicer_WIKI/blob/main/images/misc/level-to-better-4.svg?raw=true)</v>
      </c>
      <c r="W28" s="11">
        <f ca="1">_xlfn.XLOOKUP(Infill[[#This Row],[infill]],Tabla7[infill],Tabla7[% 2 Sigma])</f>
        <v>5.0426146631583624E-3</v>
      </c>
      <c r="X28" t="str">
        <f ca="1">_xlfn.XLOOKUP(Infill[[#This Row],[% 2 Sigma]],AbsRating[Max %],AbsRating[Name],,1)</f>
        <v>None</v>
      </c>
      <c r="Y28" t="str">
        <f ca="1">_xlfn.XLOOKUP(Infill[[#This Row],[% 2 Sigma]],AbsRating[Max %],AbsRating[icon],,1)</f>
        <v>![level-to-worse-0](https://github.com/OrcaSlicer/OrcaSlicer_WIKI/blob/main/images/misc/level-to-worse-0.svg?raw=true)</v>
      </c>
      <c r="Z28" s="2" t="s">
        <v>72</v>
      </c>
      <c r="AA28">
        <f>_xlfn.XLOOKUP(Infill[[#This Row],[infill]],Tabla7[infill],Tabla7[g])</f>
        <v>149.018</v>
      </c>
      <c r="AB28" s="2">
        <f>Infill[[#This Row],[g]]/(997.25*0.15)</f>
        <v>0.99619286370853177</v>
      </c>
      <c r="AC28" s="2" t="str">
        <f>_xlfn.XLOOKUP(Infill[[#This Row],[% Effective]],Rating[Max %],Rating[Name],,1)</f>
        <v>Normal</v>
      </c>
      <c r="AD28" s="2" t="str">
        <f>_xlfn.XLOOKUP(Infill[[#This Row],[% Effective]],Rating[Max %],Rating[level-to-worse],,1)</f>
        <v>![level-to-worse-4](https://github.com/OrcaSlicer/OrcaSlicer_WIKI/blob/main/images/misc/level-to-worse-4.svg?raw=true)</v>
      </c>
      <c r="AE28">
        <f>_xlfn.XLOOKUP(Infill[[#This Row],[infill]],Tabla7[infill],Tabla7[Total Time])</f>
        <v>509.63600000000002</v>
      </c>
      <c r="AF28" s="2">
        <f>Infill[[#This Row],[Total Time]]/AVERAGEIFS(Infill[Total Time],Infill[Material Usage Icon],_xlfn.XLOOKUP("Normal",Rating[Name],Rating[level-to-worse]))</f>
        <v>1.6900230399464804</v>
      </c>
      <c r="AG28" s="2" t="str">
        <f>_xlfn.XLOOKUP(Infill[[#This Row],[t prom]],Rating[Max %],Rating[Name],,1)</f>
        <v>Extra-High</v>
      </c>
      <c r="AH28" s="2" t="str">
        <f>_xlfn.XLOOKUP(Infill[[#This Row],[t prom]],Rating[Max %],Rating[level-to-worse],,1)</f>
        <v>![level-to-worse-7](https://github.com/OrcaSlicer/OrcaSlicer_WIKI/blob/main/images/misc/level-to-worse-7.svg?raw=true)</v>
      </c>
      <c r="AI28" s="3">
        <f>Infill[[#This Row],[g]]/Infill[[#This Row],[Total Time]]</f>
        <v>0.29240085080331846</v>
      </c>
      <c r="AJ28" s="2">
        <f>Infill[[#This Row],[g/t]]/AVERAGEIFS(Infill[g/t],Infill[Material Usage Icon],_xlfn.XLOOKUP("Normal",Rating[Name],Rating[level-to-worse]))</f>
        <v>0.5324861512721708</v>
      </c>
      <c r="AK28" s="2" t="str">
        <f>_xlfn.XLOOKUP(Infill[[#This Row],[g/t prom]],Rating[Max %],Rating[Name],,1)</f>
        <v>Low</v>
      </c>
      <c r="AL28" s="1" t="str">
        <f>_xlfn.XLOOKUP(Infill[[#This Row],[g/t prom]],Rating[Max %],Rating[level-to-better],,1)</f>
        <v>![level-to-better-2](https://github.com/OrcaSlicer/OrcaSlicer_WIKI/blob/main/images/misc/level-to-better-2.svg?raw=true)</v>
      </c>
      <c r="AM28" s="2" t="str">
        <f>SUBSTITUTE(LOWER(Infill[[#This Row],[name]])," ","-")</f>
        <v>hilbert-curve</v>
      </c>
      <c r="AN28" t="str">
        <f>"param_"&amp;Infill[[#This Row],[infill]]</f>
        <v>param_hilbertcurve</v>
      </c>
      <c r="AO28"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P28" s="2" t="str">
        <f>"["&amp;Infill[[#This Row],[name]]&amp;"](#"&amp;Infill[[#This Row],[nameMD]]&amp;")"</f>
        <v>[Hilbert Curve](#hilbert-curve)</v>
      </c>
      <c r="AQ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S28" t="str">
        <f>IF(OR(Infill[[#This Row],[Is Infill]],Infill[[#This Row],[Is Surface]])," { """&amp;Infill[[#This Row],[infill]]&amp;""", "&amp;Infill[[#This Row],[ip]]&amp;" },","")</f>
        <v xml:space="preserve"> { "hilbertcurve", ipHilbertCurve },</v>
      </c>
      <c r="AT28" t="str">
        <f>IF(OR(Infill[[#This Row],[Is Infill]],Infill[[#This Row],[Is Surface]]),"def-&gt;enum_values.push_back("""&amp;Infill[[#This Row],[infill]]&amp;""");","")</f>
        <v>def-&gt;enum_values.push_back("hilbertcurve");</v>
      </c>
      <c r="AU28" t="str">
        <f>IF(OR(Infill[[#This Row],[Is Infill]],Infill[[#This Row],[Is Surface]]),"def-&gt;enum_labels.push_back(L("""&amp;Infill[[#This Row],[name]]&amp;"""));","")</f>
        <v>def-&gt;enum_labels.push_back(L("Hilbert Curve"));</v>
      </c>
      <c r="AW28" t="str">
        <f>Infill[[#This Row],[SVG Link]]</f>
        <v>&lt;img alt="param_hilbertcurve" src="https://github.com/OrcaSlicer/OrcaSlicer/blob/main/resources/images/param_hilbertcurve.svg?raw=true" height="45"&gt;</v>
      </c>
      <c r="AX28" s="1" t="str">
        <f>"["&amp;Infill[[#This Row],[name]]&amp;"](strength_settings_patterns#"&amp;Infill[[#This Row],[nameMD]]&amp;")"</f>
        <v>[Hilbert Curve](strength_settings_patterns#hilbert-curve)</v>
      </c>
      <c r="AY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8" s="1" t="str">
        <f>Infill[[#This Row],[Material Usage Icon]]</f>
        <v>![level-to-worse-4](https://github.com/OrcaSlicer/OrcaSlicer_WIKI/blob/main/images/misc/level-to-worse-4.svg?raw=true)</v>
      </c>
      <c r="BA28" s="1" t="str">
        <f>Infill[[#This Row],[Print Time Icon]]</f>
        <v>![level-to-worse-7](https://github.com/OrcaSlicer/OrcaSlicer_WIKI/blob/main/images/misc/level-to-worse-7.svg?raw=true)</v>
      </c>
      <c r="BB28" t="str">
        <f ca="1">Infill[[#This Row],[Layer time Variability Icon]]</f>
        <v>![level-to-worse-0](https://github.com/OrcaSlicer/OrcaSlicer_WIKI/blob/main/images/misc/level-to-worse-0.svg?raw=true)</v>
      </c>
      <c r="BC28" s="1" t="str">
        <f>Infill[[#This Row],[Multiline]]</f>
        <v>[Classic](strength_settings_infill#classic-strategy)</v>
      </c>
    </row>
    <row r="29" spans="2:55" ht="345" x14ac:dyDescent="0.25">
      <c r="E29">
        <v>26</v>
      </c>
      <c r="F29" t="b">
        <v>1</v>
      </c>
      <c r="G29" t="b">
        <v>1</v>
      </c>
      <c r="H29" t="b">
        <v>0</v>
      </c>
      <c r="I29" t="s">
        <v>14</v>
      </c>
      <c r="J29" t="s">
        <v>181</v>
      </c>
      <c r="K29" t="s">
        <v>103</v>
      </c>
      <c r="L29" t="s">
        <v>130</v>
      </c>
      <c r="M29" t="s">
        <v>217</v>
      </c>
      <c r="N29" t="s">
        <v>216</v>
      </c>
      <c r="O29" t="s">
        <v>216</v>
      </c>
      <c r="P29" s="6" t="s">
        <v>60</v>
      </c>
      <c r="Q29">
        <v>2</v>
      </c>
      <c r="R29" t="str">
        <f>_xlfn.XLOOKUP(Infill[[#This Row],[XY-N]],Rating[N],Rating[Name])</f>
        <v>Low</v>
      </c>
      <c r="S29" t="str">
        <f>_xlfn.XLOOKUP(Infill[[#This Row],[XY-N]],Rating[N],Rating[level-to-better])</f>
        <v>![level-to-better-2](https://github.com/OrcaSlicer/OrcaSlicer_WIKI/blob/main/images/misc/level-to-better-2.svg?raw=true)</v>
      </c>
      <c r="T29">
        <v>4</v>
      </c>
      <c r="U29" t="str">
        <f>_xlfn.XLOOKUP(Infill[[#This Row],[Z-N]],Rating[N],Rating[Name])</f>
        <v>Normal</v>
      </c>
      <c r="V29" t="str">
        <f>_xlfn.XLOOKUP(Infill[[#This Row],[Z-N]],Rating[N],Rating[level-to-better])</f>
        <v>![level-to-better-4](https://github.com/OrcaSlicer/OrcaSlicer_WIKI/blob/main/images/misc/level-to-better-4.svg?raw=true)</v>
      </c>
      <c r="W29" s="11">
        <f ca="1">_xlfn.XLOOKUP(Infill[[#This Row],[infill]],Tabla7[infill],Tabla7[% 2 Sigma])</f>
        <v>5.0911330595770909E-3</v>
      </c>
      <c r="X29" t="str">
        <f ca="1">_xlfn.XLOOKUP(Infill[[#This Row],[% 2 Sigma]],AbsRating[Max %],AbsRating[Name],,1)</f>
        <v>None</v>
      </c>
      <c r="Y29" t="str">
        <f ca="1">_xlfn.XLOOKUP(Infill[[#This Row],[% 2 Sigma]],AbsRating[Max %],AbsRating[icon],,1)</f>
        <v>![level-to-worse-0](https://github.com/OrcaSlicer/OrcaSlicer_WIKI/blob/main/images/misc/level-to-worse-0.svg?raw=true)</v>
      </c>
      <c r="Z29" s="2" t="s">
        <v>72</v>
      </c>
      <c r="AA29">
        <f>_xlfn.XLOOKUP(Infill[[#This Row],[infill]],Tabla7[infill],Tabla7[g])</f>
        <v>148.822</v>
      </c>
      <c r="AB29" s="2">
        <f>Infill[[#This Row],[g]]/(997.25*0.15)</f>
        <v>0.99488259379961563</v>
      </c>
      <c r="AC29" s="2" t="str">
        <f>_xlfn.XLOOKUP(Infill[[#This Row],[% Effective]],Rating[Max %],Rating[Name],,1)</f>
        <v>Normal</v>
      </c>
      <c r="AD29" s="2" t="str">
        <f>_xlfn.XLOOKUP(Infill[[#This Row],[% Effective]],Rating[Max %],Rating[level-to-worse],,1)</f>
        <v>![level-to-worse-4](https://github.com/OrcaSlicer/OrcaSlicer_WIKI/blob/main/images/misc/level-to-worse-4.svg?raw=true)</v>
      </c>
      <c r="AE29">
        <f>_xlfn.XLOOKUP(Infill[[#This Row],[infill]],Tabla7[infill],Tabla7[Total Time])</f>
        <v>244.00399999999999</v>
      </c>
      <c r="AF29" s="2">
        <f>Infill[[#This Row],[Total Time]]/AVERAGEIFS(Infill[Total Time],Infill[Material Usage Icon],_xlfn.XLOOKUP("Normal",Rating[Name],Rating[level-to-worse]))</f>
        <v>0.80915080928172456</v>
      </c>
      <c r="AG29" s="2" t="str">
        <f>_xlfn.XLOOKUP(Infill[[#This Row],[t prom]],Rating[Max %],Rating[Name],,1)</f>
        <v>Normal-Low</v>
      </c>
      <c r="AH29" s="2" t="str">
        <f>_xlfn.XLOOKUP(Infill[[#This Row],[t prom]],Rating[Max %],Rating[level-to-worse],,1)</f>
        <v>![level-to-worse-3](https://github.com/OrcaSlicer/OrcaSlicer_WIKI/blob/main/images/misc/level-to-worse-3.svg?raw=true)</v>
      </c>
      <c r="AI29" s="3">
        <f>Infill[[#This Row],[g]]/Infill[[#This Row],[Total Time]]</f>
        <v>0.60991623088146096</v>
      </c>
      <c r="AJ29" s="2">
        <f>Infill[[#This Row],[g/t]]/AVERAGEIFS(Infill[g/t],Infill[Material Usage Icon],_xlfn.XLOOKUP("Normal",Rating[Name],Rating[level-to-worse]))</f>
        <v>1.1107079390783088</v>
      </c>
      <c r="AK29" s="2" t="str">
        <f>_xlfn.XLOOKUP(Infill[[#This Row],[g/t prom]],Rating[Max %],Rating[Name],,1)</f>
        <v>Normal-High</v>
      </c>
      <c r="AL29" s="1" t="str">
        <f>_xlfn.XLOOKUP(Infill[[#This Row],[g/t prom]],Rating[Max %],Rating[level-to-better],,1)</f>
        <v>![level-to-better-5](https://github.com/OrcaSlicer/OrcaSlicer_WIKI/blob/main/images/misc/level-to-better-5.svg?raw=true)</v>
      </c>
      <c r="AM29" s="2" t="str">
        <f>SUBSTITUTE(LOWER(Infill[[#This Row],[name]])," ","-")</f>
        <v>archimedean-chords</v>
      </c>
      <c r="AN29" t="str">
        <f>"param_"&amp;Infill[[#This Row],[infill]]</f>
        <v>param_archimedeanchords</v>
      </c>
      <c r="AO29"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P29" s="2" t="str">
        <f>"["&amp;Infill[[#This Row],[name]]&amp;"](#"&amp;Infill[[#This Row],[nameMD]]&amp;")"</f>
        <v>[Archimedean Chords](#archimedean-chords)</v>
      </c>
      <c r="AQ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S29" t="str">
        <f>IF(OR(Infill[[#This Row],[Is Infill]],Infill[[#This Row],[Is Surface]])," { """&amp;Infill[[#This Row],[infill]]&amp;""", "&amp;Infill[[#This Row],[ip]]&amp;" },","")</f>
        <v xml:space="preserve"> { "archimedeanchords", ipArchimedeanChords },</v>
      </c>
      <c r="AT29" t="str">
        <f>IF(OR(Infill[[#This Row],[Is Infill]],Infill[[#This Row],[Is Surface]]),"def-&gt;enum_values.push_back("""&amp;Infill[[#This Row],[infill]]&amp;""");","")</f>
        <v>def-&gt;enum_values.push_back("archimedeanchords");</v>
      </c>
      <c r="AU29" t="str">
        <f>IF(OR(Infill[[#This Row],[Is Infill]],Infill[[#This Row],[Is Surface]]),"def-&gt;enum_labels.push_back(L("""&amp;Infill[[#This Row],[name]]&amp;"""));","")</f>
        <v>def-&gt;enum_labels.push_back(L("Archimedean Chords"));</v>
      </c>
      <c r="AW29" t="str">
        <f>Infill[[#This Row],[SVG Link]]</f>
        <v>&lt;img alt="param_archimedeanchords" src="https://github.com/OrcaSlicer/OrcaSlicer/blob/main/resources/images/param_archimedeanchords.svg?raw=true" height="45"&gt;</v>
      </c>
      <c r="AX29" s="1" t="str">
        <f>"["&amp;Infill[[#This Row],[name]]&amp;"](strength_settings_patterns#"&amp;Infill[[#This Row],[nameMD]]&amp;")"</f>
        <v>[Archimedean Chords](strength_settings_patterns#archimedean-chords)</v>
      </c>
      <c r="AY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9" s="1" t="str">
        <f>Infill[[#This Row],[Material Usage Icon]]</f>
        <v>![level-to-worse-4](https://github.com/OrcaSlicer/OrcaSlicer_WIKI/blob/main/images/misc/level-to-worse-4.svg?raw=true)</v>
      </c>
      <c r="BA29" s="1" t="str">
        <f>Infill[[#This Row],[Print Time Icon]]</f>
        <v>![level-to-worse-3](https://github.com/OrcaSlicer/OrcaSlicer_WIKI/blob/main/images/misc/level-to-worse-3.svg?raw=true)</v>
      </c>
      <c r="BB29" t="str">
        <f ca="1">Infill[[#This Row],[Layer time Variability Icon]]</f>
        <v>![level-to-worse-0](https://github.com/OrcaSlicer/OrcaSlicer_WIKI/blob/main/images/misc/level-to-worse-0.svg?raw=true)</v>
      </c>
      <c r="BC29" s="1" t="str">
        <f>Infill[[#This Row],[Multiline]]</f>
        <v>[Classic](strength_settings_infill#classic-strategy)</v>
      </c>
    </row>
    <row r="30" spans="2:55" ht="345" x14ac:dyDescent="0.25">
      <c r="E30">
        <v>27</v>
      </c>
      <c r="F30" t="b">
        <v>1</v>
      </c>
      <c r="G30" t="b">
        <v>1</v>
      </c>
      <c r="H30" t="b">
        <v>0</v>
      </c>
      <c r="I30" t="s">
        <v>15</v>
      </c>
      <c r="J30" t="s">
        <v>181</v>
      </c>
      <c r="K30" t="s">
        <v>104</v>
      </c>
      <c r="L30" t="s">
        <v>131</v>
      </c>
      <c r="M30" t="s">
        <v>217</v>
      </c>
      <c r="N30" t="s">
        <v>216</v>
      </c>
      <c r="O30" t="s">
        <v>243</v>
      </c>
      <c r="P30" s="6" t="s">
        <v>182</v>
      </c>
      <c r="Q30">
        <v>2</v>
      </c>
      <c r="R30" t="str">
        <f>_xlfn.XLOOKUP(Infill[[#This Row],[XY-N]],Rating[N],Rating[Name])</f>
        <v>Low</v>
      </c>
      <c r="S30" t="str">
        <f>_xlfn.XLOOKUP(Infill[[#This Row],[XY-N]],Rating[N],Rating[level-to-better])</f>
        <v>![level-to-better-2](https://github.com/OrcaSlicer/OrcaSlicer_WIKI/blob/main/images/misc/level-to-better-2.svg?raw=true)</v>
      </c>
      <c r="T30">
        <v>4</v>
      </c>
      <c r="U30" t="str">
        <f>_xlfn.XLOOKUP(Infill[[#This Row],[Z-N]],Rating[N],Rating[Name])</f>
        <v>Normal</v>
      </c>
      <c r="V30" t="str">
        <f>_xlfn.XLOOKUP(Infill[[#This Row],[Z-N]],Rating[N],Rating[level-to-better])</f>
        <v>![level-to-better-4](https://github.com/OrcaSlicer/OrcaSlicer_WIKI/blob/main/images/misc/level-to-better-4.svg?raw=true)</v>
      </c>
      <c r="W30" s="11">
        <f ca="1">_xlfn.XLOOKUP(Infill[[#This Row],[infill]],Tabla7[infill],Tabla7[% 2 Sigma])</f>
        <v>7.1326270107181511E-3</v>
      </c>
      <c r="X30" t="str">
        <f ca="1">_xlfn.XLOOKUP(Infill[[#This Row],[% 2 Sigma]],AbsRating[Max %],AbsRating[Name],,1)</f>
        <v>None</v>
      </c>
      <c r="Y30" t="str">
        <f ca="1">_xlfn.XLOOKUP(Infill[[#This Row],[% 2 Sigma]],AbsRating[Max %],AbsRating[icon],,1)</f>
        <v>![level-to-worse-0](https://github.com/OrcaSlicer/OrcaSlicer_WIKI/blob/main/images/misc/level-to-worse-0.svg?raw=true)</v>
      </c>
      <c r="Z30" s="2" t="s">
        <v>72</v>
      </c>
      <c r="AA30">
        <f>_xlfn.XLOOKUP(Infill[[#This Row],[infill]],Tabla7[infill],Tabla7[g])</f>
        <v>148.61600000000001</v>
      </c>
      <c r="AB30" s="2">
        <f>Infill[[#This Row],[g]]/(997.25*0.15)</f>
        <v>0.9935054733851425</v>
      </c>
      <c r="AC30" s="2" t="str">
        <f>_xlfn.XLOOKUP(Infill[[#This Row],[% Effective]],Rating[Max %],Rating[Name],,1)</f>
        <v>Normal</v>
      </c>
      <c r="AD30" s="2" t="str">
        <f>_xlfn.XLOOKUP(Infill[[#This Row],[% Effective]],Rating[Max %],Rating[level-to-worse],,1)</f>
        <v>![level-to-worse-4](https://github.com/OrcaSlicer/OrcaSlicer_WIKI/blob/main/images/misc/level-to-worse-4.svg?raw=true)</v>
      </c>
      <c r="AE30">
        <f>_xlfn.XLOOKUP(Infill[[#This Row],[infill]],Tabla7[infill],Tabla7[Total Time])</f>
        <v>283.7</v>
      </c>
      <c r="AF30" s="2">
        <f>Infill[[#This Row],[Total Time]]/AVERAGEIFS(Infill[Total Time],Infill[Material Usage Icon],_xlfn.XLOOKUP("Normal",Rating[Name],Rating[level-to-worse]))</f>
        <v>0.94078820262465057</v>
      </c>
      <c r="AG30" s="2" t="str">
        <f>_xlfn.XLOOKUP(Infill[[#This Row],[t prom]],Rating[Max %],Rating[Name],,1)</f>
        <v>Normal</v>
      </c>
      <c r="AH30" s="2" t="str">
        <f>_xlfn.XLOOKUP(Infill[[#This Row],[t prom]],Rating[Max %],Rating[level-to-worse],,1)</f>
        <v>![level-to-worse-4](https://github.com/OrcaSlicer/OrcaSlicer_WIKI/blob/main/images/misc/level-to-worse-4.svg?raw=true)</v>
      </c>
      <c r="AI30" s="3">
        <f>Infill[[#This Row],[g]]/Infill[[#This Row],[Total Time]]</f>
        <v>0.52384913641170261</v>
      </c>
      <c r="AJ30" s="2">
        <f>Infill[[#This Row],[g/t]]/AVERAGEIFS(Infill[g/t],Infill[Material Usage Icon],_xlfn.XLOOKUP("Normal",Rating[Name],Rating[level-to-worse]))</f>
        <v>0.95397263629286333</v>
      </c>
      <c r="AK30" s="2" t="str">
        <f>_xlfn.XLOOKUP(Infill[[#This Row],[g/t prom]],Rating[Max %],Rating[Name],,1)</f>
        <v>Normal</v>
      </c>
      <c r="AL30" s="1" t="str">
        <f>_xlfn.XLOOKUP(Infill[[#This Row],[g/t prom]],Rating[Max %],Rating[level-to-better],,1)</f>
        <v>![level-to-better-4](https://github.com/OrcaSlicer/OrcaSlicer_WIKI/blob/main/images/misc/level-to-better-4.svg?raw=true)</v>
      </c>
      <c r="AM30" s="2" t="str">
        <f>SUBSTITUTE(LOWER(Infill[[#This Row],[name]])," ","-")</f>
        <v>octagram-spiral</v>
      </c>
      <c r="AN30" t="str">
        <f>"param_"&amp;Infill[[#This Row],[infill]]</f>
        <v>param_octagramspiral</v>
      </c>
      <c r="AO30"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P30" s="2" t="str">
        <f>"["&amp;Infill[[#This Row],[name]]&amp;"](#"&amp;Infill[[#This Row],[nameMD]]&amp;")"</f>
        <v>[Octagram Spiral](#octagram-spiral)</v>
      </c>
      <c r="AQ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3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S30" t="str">
        <f>IF(OR(Infill[[#This Row],[Is Infill]],Infill[[#This Row],[Is Surface]])," { """&amp;Infill[[#This Row],[infill]]&amp;""", "&amp;Infill[[#This Row],[ip]]&amp;" },","")</f>
        <v xml:space="preserve"> { "octagramspiral", ipOctagramSpiral },</v>
      </c>
      <c r="AT30" t="str">
        <f>IF(OR(Infill[[#This Row],[Is Infill]],Infill[[#This Row],[Is Surface]]),"def-&gt;enum_values.push_back("""&amp;Infill[[#This Row],[infill]]&amp;""");","")</f>
        <v>def-&gt;enum_values.push_back("octagramspiral");</v>
      </c>
      <c r="AU30" t="str">
        <f>IF(OR(Infill[[#This Row],[Is Infill]],Infill[[#This Row],[Is Surface]]),"def-&gt;enum_labels.push_back(L("""&amp;Infill[[#This Row],[name]]&amp;"""));","")</f>
        <v>def-&gt;enum_labels.push_back(L("Octagram Spiral"));</v>
      </c>
      <c r="AW30" t="str">
        <f>Infill[[#This Row],[SVG Link]]</f>
        <v>&lt;img alt="param_octagramspiral" src="https://github.com/OrcaSlicer/OrcaSlicer/blob/main/resources/images/param_octagramspiral.svg?raw=true" height="45"&gt;</v>
      </c>
      <c r="AX30" s="1" t="str">
        <f>"["&amp;Infill[[#This Row],[name]]&amp;"](strength_settings_patterns#"&amp;Infill[[#This Row],[nameMD]]&amp;")"</f>
        <v>[Octagram Spiral](strength_settings_patterns#octagram-spiral)</v>
      </c>
      <c r="AY30"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30" s="1" t="str">
        <f>Infill[[#This Row],[Material Usage Icon]]</f>
        <v>![level-to-worse-4](https://github.com/OrcaSlicer/OrcaSlicer_WIKI/blob/main/images/misc/level-to-worse-4.svg?raw=true)</v>
      </c>
      <c r="BA30" s="1" t="str">
        <f>Infill[[#This Row],[Print Time Icon]]</f>
        <v>![level-to-worse-4](https://github.com/OrcaSlicer/OrcaSlicer_WIKI/blob/main/images/misc/level-to-worse-4.svg?raw=true)</v>
      </c>
      <c r="BB30" t="str">
        <f ca="1">Infill[[#This Row],[Layer time Variability Icon]]</f>
        <v>![level-to-worse-0](https://github.com/OrcaSlicer/OrcaSlicer_WIKI/blob/main/images/misc/level-to-worse-0.svg?raw=true)</v>
      </c>
      <c r="BC30" s="1" t="str">
        <f>Infill[[#This Row],[Multiline]]</f>
        <v>[Classic](strength_settings_infill#classic-strategy)</v>
      </c>
    </row>
    <row r="31" spans="2:55" x14ac:dyDescent="0.25">
      <c r="E31">
        <v>28</v>
      </c>
      <c r="F31" t="b">
        <v>0</v>
      </c>
      <c r="G31" t="b">
        <v>0</v>
      </c>
      <c r="H31" t="b">
        <v>0</v>
      </c>
      <c r="K31" t="s">
        <v>106</v>
      </c>
      <c r="M31" t="s">
        <v>215</v>
      </c>
      <c r="N31" t="s">
        <v>215</v>
      </c>
      <c r="O31" t="s">
        <v>215</v>
      </c>
      <c r="P31" s="8"/>
      <c r="R31" t="e">
        <f>_xlfn.XLOOKUP(Infill[[#This Row],[XY-N]],Rating[N],Rating[Name])</f>
        <v>#N/A</v>
      </c>
      <c r="S31" t="e">
        <f>_xlfn.XLOOKUP(Infill[[#This Row],[XY-N]],Rating[N],Rating[level-to-better])</f>
        <v>#N/A</v>
      </c>
      <c r="U31" t="e">
        <f>_xlfn.XLOOKUP(Infill[[#This Row],[Z-N]],Rating[N],Rating[Name])</f>
        <v>#N/A</v>
      </c>
      <c r="V31" t="e">
        <f>_xlfn.XLOOKUP(Infill[[#This Row],[Z-N]],Rating[N],Rating[level-to-better])</f>
        <v>#N/A</v>
      </c>
      <c r="W31" s="11" t="e">
        <f>_xlfn.XLOOKUP(Infill[[#This Row],[infill]],Tabla7[infill],Tabla7[% 2 Sigma])</f>
        <v>#N/A</v>
      </c>
      <c r="X31" t="e">
        <f>_xlfn.XLOOKUP(Infill[[#This Row],[% 2 Sigma]],AbsRating[Max %],AbsRating[Name],,1)</f>
        <v>#N/A</v>
      </c>
      <c r="Y31" t="e">
        <f>_xlfn.XLOOKUP(Infill[[#This Row],[% 2 Sigma]],AbsRating[Max %],AbsRating[icon],,1)</f>
        <v>#N/A</v>
      </c>
      <c r="Z31" s="2"/>
      <c r="AA31" t="e">
        <f>_xlfn.XLOOKUP(Infill[[#This Row],[infill]],Tabla7[infill],Tabla7[g])</f>
        <v>#N/A</v>
      </c>
      <c r="AB31" s="2" t="e">
        <f>Infill[[#This Row],[g]]/(997.25*0.15)</f>
        <v>#N/A</v>
      </c>
      <c r="AC31" s="2" t="e">
        <f>_xlfn.XLOOKUP(Infill[[#This Row],[% Effective]],Rating[Max %],Rating[Name],,1)</f>
        <v>#N/A</v>
      </c>
      <c r="AD31" s="2" t="e">
        <f>_xlfn.XLOOKUP(Infill[[#This Row],[% Effective]],Rating[Max %],Rating[level-to-worse],,1)</f>
        <v>#N/A</v>
      </c>
      <c r="AE31" t="e">
        <f>_xlfn.XLOOKUP(Infill[[#This Row],[infill]],Tabla7[infill],Tabla7[Total Time])</f>
        <v>#N/A</v>
      </c>
      <c r="AF31" s="2" t="e">
        <f>Infill[[#This Row],[Total Time]]/AVERAGEIFS(Infill[Total Time],Infill[Material Usage Icon],_xlfn.XLOOKUP("Normal",Rating[Name],Rating[level-to-worse]))</f>
        <v>#N/A</v>
      </c>
      <c r="AG31" s="2" t="e">
        <f>_xlfn.XLOOKUP(Infill[[#This Row],[t prom]],Rating[Max %],Rating[Name],,1)</f>
        <v>#N/A</v>
      </c>
      <c r="AH31" s="2" t="e">
        <f>_xlfn.XLOOKUP(Infill[[#This Row],[t prom]],Rating[Max %],Rating[level-to-worse],,1)</f>
        <v>#N/A</v>
      </c>
      <c r="AI31" s="3" t="e">
        <f>Infill[[#This Row],[g]]/Infill[[#This Row],[Total Time]]</f>
        <v>#N/A</v>
      </c>
      <c r="AJ31" s="2" t="e">
        <f>Infill[[#This Row],[g/t]]/AVERAGEIFS(Infill[g/t],Infill[Material Usage Icon],_xlfn.XLOOKUP("Normal",Rating[Name],Rating[level-to-worse]))</f>
        <v>#N/A</v>
      </c>
      <c r="AK31" s="2" t="e">
        <f>_xlfn.XLOOKUP(Infill[[#This Row],[g/t prom]],Rating[Max %],Rating[Name],,1)</f>
        <v>#N/A</v>
      </c>
      <c r="AL31" s="2" t="e">
        <f>_xlfn.XLOOKUP(Infill[[#This Row],[g/t prom]],Rating[Max %],Rating[level-to-better],,1)</f>
        <v>#N/A</v>
      </c>
      <c r="AM31" s="2" t="str">
        <f>SUBSTITUTE(LOWER(Infill[[#This Row],[name]])," ","-")</f>
        <v/>
      </c>
      <c r="AO31" t="str">
        <f>"&lt;img alt=""" &amp; Infill[[#This Row],[SVG]] &amp; """ src=""https://github.com/OrcaSlicer/OrcaSlicer/blob/main/resources/images/" &amp; Infill[[#This Row],[SVG]] &amp; ".svg?raw=true"" height=""45""&gt;"</f>
        <v>&lt;img alt="" src="https://github.com/OrcaSlicer/OrcaSlicer/blob/main/resources/images/.svg?raw=true" height="45"&gt;</v>
      </c>
      <c r="AP31" s="2" t="str">
        <f>"["&amp;Infill[[#This Row],[name]]&amp;"](#"&amp;Infill[[#This Row],[nameMD]]&amp;")"</f>
        <v>[](#)</v>
      </c>
      <c r="AQ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1" t="str">
        <f>IF(OR(Infill[[#This Row],[Is Infill]],Infill[[#This Row],[Is Surface]])," { """&amp;Infill[[#This Row],[infill]]&amp;""", "&amp;Infill[[#This Row],[ip]]&amp;" },","")</f>
        <v/>
      </c>
      <c r="AT31" t="str">
        <f>IF(OR(Infill[[#This Row],[Is Infill]],Infill[[#This Row],[Is Surface]]),"def-&gt;enum_values.push_back("""&amp;Infill[[#This Row],[infill]]&amp;""");","")</f>
        <v/>
      </c>
      <c r="AU31" t="str">
        <f>IF(OR(Infill[[#This Row],[Is Infill]],Infill[[#This Row],[Is Surface]]),"def-&gt;enum_labels.push_back(L("""&amp;Infill[[#This Row],[name]]&amp;"""));","")</f>
        <v/>
      </c>
      <c r="AW31" t="str">
        <f>Infill[[#This Row],[SVG Link]]</f>
        <v>&lt;img alt="" src="https://github.com/OrcaSlicer/OrcaSlicer/blob/main/resources/images/.svg?raw=true" height="45"&gt;</v>
      </c>
      <c r="AX31" s="1" t="str">
        <f>"["&amp;Infill[[#This Row],[name]]&amp;"](strength_settings_patterns#"&amp;Infill[[#This Row],[nameMD]]&amp;")"</f>
        <v>[](strength_settings_patterns#)</v>
      </c>
      <c r="AY31" s="6" t="e">
        <f>"X-Y: "&amp;Infill[[#This Row],[X-Y Strength Icon]]&amp;"
Z: "&amp;Infill[[#This Row],[Z Strength Icon]]</f>
        <v>#N/A</v>
      </c>
      <c r="AZ31" s="1" t="e">
        <f>Infill[[#This Row],[Material Usage Icon]]</f>
        <v>#N/A</v>
      </c>
      <c r="BA31" s="1" t="e">
        <f>Infill[[#This Row],[Print Time Icon]]</f>
        <v>#N/A</v>
      </c>
      <c r="BB31" t="e">
        <f>Infill[[#This Row],[Layer time Variability Icon]]</f>
        <v>#N/A</v>
      </c>
      <c r="BC31" s="1" t="str">
        <f>Infill[[#This Row],[Multiline]]</f>
        <v>N/A</v>
      </c>
    </row>
    <row r="32" spans="2:55" x14ac:dyDescent="0.25">
      <c r="B32" s="2"/>
      <c r="E32">
        <v>29</v>
      </c>
      <c r="F32" t="b">
        <v>0</v>
      </c>
      <c r="G32" t="b">
        <v>0</v>
      </c>
      <c r="H32" t="b">
        <v>0</v>
      </c>
      <c r="K32" t="s">
        <v>107</v>
      </c>
      <c r="M32" t="s">
        <v>215</v>
      </c>
      <c r="N32" t="s">
        <v>215</v>
      </c>
      <c r="O32" t="s">
        <v>215</v>
      </c>
      <c r="P32" s="8"/>
      <c r="R32" t="e">
        <f>_xlfn.XLOOKUP(Infill[[#This Row],[XY-N]],Rating[N],Rating[Name])</f>
        <v>#N/A</v>
      </c>
      <c r="S32" t="e">
        <f>_xlfn.XLOOKUP(Infill[[#This Row],[XY-N]],Rating[N],Rating[level-to-better])</f>
        <v>#N/A</v>
      </c>
      <c r="U32" t="e">
        <f>_xlfn.XLOOKUP(Infill[[#This Row],[Z-N]],Rating[N],Rating[Name])</f>
        <v>#N/A</v>
      </c>
      <c r="V32" t="e">
        <f>_xlfn.XLOOKUP(Infill[[#This Row],[Z-N]],Rating[N],Rating[level-to-better])</f>
        <v>#N/A</v>
      </c>
      <c r="W32" s="11" t="e">
        <f>_xlfn.XLOOKUP(Infill[[#This Row],[infill]],Tabla7[infill],Tabla7[% 2 Sigma])</f>
        <v>#N/A</v>
      </c>
      <c r="X32" t="e">
        <f>_xlfn.XLOOKUP(Infill[[#This Row],[% 2 Sigma]],AbsRating[Max %],AbsRating[Name],,1)</f>
        <v>#N/A</v>
      </c>
      <c r="Y32" t="e">
        <f>_xlfn.XLOOKUP(Infill[[#This Row],[% 2 Sigma]],AbsRating[Max %],AbsRating[icon],,1)</f>
        <v>#N/A</v>
      </c>
      <c r="Z32" s="2"/>
      <c r="AA32" t="e">
        <f>_xlfn.XLOOKUP(Infill[[#This Row],[infill]],Tabla7[infill],Tabla7[g])</f>
        <v>#N/A</v>
      </c>
      <c r="AB32" s="2" t="e">
        <f>Infill[[#This Row],[g]]/(997.25*0.15)</f>
        <v>#N/A</v>
      </c>
      <c r="AC32" s="2" t="e">
        <f>_xlfn.XLOOKUP(Infill[[#This Row],[% Effective]],Rating[Max %],Rating[Name],,1)</f>
        <v>#N/A</v>
      </c>
      <c r="AD32" s="2" t="e">
        <f>_xlfn.XLOOKUP(Infill[[#This Row],[% Effective]],Rating[Max %],Rating[level-to-worse],,1)</f>
        <v>#N/A</v>
      </c>
      <c r="AE32" t="e">
        <f>_xlfn.XLOOKUP(Infill[[#This Row],[infill]],Tabla7[infill],Tabla7[Total Time])</f>
        <v>#N/A</v>
      </c>
      <c r="AF32" s="2" t="e">
        <f>Infill[[#This Row],[Total Time]]/AVERAGEIFS(Infill[Total Time],Infill[Material Usage Icon],_xlfn.XLOOKUP("Normal",Rating[Name],Rating[level-to-worse]))</f>
        <v>#N/A</v>
      </c>
      <c r="AG32" s="2" t="e">
        <f>_xlfn.XLOOKUP(Infill[[#This Row],[t prom]],Rating[Max %],Rating[Name],,1)</f>
        <v>#N/A</v>
      </c>
      <c r="AH32" s="2" t="e">
        <f>_xlfn.XLOOKUP(Infill[[#This Row],[t prom]],Rating[Max %],Rating[level-to-worse],,1)</f>
        <v>#N/A</v>
      </c>
      <c r="AI32" s="3" t="e">
        <f>Infill[[#This Row],[g]]/Infill[[#This Row],[Total Time]]</f>
        <v>#N/A</v>
      </c>
      <c r="AJ32" s="2" t="e">
        <f>Infill[[#This Row],[g/t]]/AVERAGEIFS(Infill[g/t],Infill[Material Usage Icon],_xlfn.XLOOKUP("Normal",Rating[Name],Rating[level-to-worse]))</f>
        <v>#N/A</v>
      </c>
      <c r="AK32" s="2" t="e">
        <f>_xlfn.XLOOKUP(Infill[[#This Row],[g/t prom]],Rating[Max %],Rating[Name],,1)</f>
        <v>#N/A</v>
      </c>
      <c r="AL32" s="2" t="e">
        <f>_xlfn.XLOOKUP(Infill[[#This Row],[g/t prom]],Rating[Max %],Rating[level-to-better],,1)</f>
        <v>#N/A</v>
      </c>
      <c r="AM32" s="2" t="str">
        <f>SUBSTITUTE(LOWER(Infill[[#This Row],[name]])," ","-")</f>
        <v/>
      </c>
      <c r="AO32" t="str">
        <f>"&lt;img alt=""" &amp; Infill[[#This Row],[SVG]] &amp; """ src=""https://github.com/OrcaSlicer/OrcaSlicer/blob/main/resources/images/" &amp; Infill[[#This Row],[SVG]] &amp; ".svg?raw=true"" height=""45""&gt;"</f>
        <v>&lt;img alt="" src="https://github.com/OrcaSlicer/OrcaSlicer/blob/main/resources/images/.svg?raw=true" height="45"&gt;</v>
      </c>
      <c r="AP32" s="2" t="str">
        <f>"["&amp;Infill[[#This Row],[name]]&amp;"](#"&amp;Infill[[#This Row],[nameMD]]&amp;")"</f>
        <v>[](#)</v>
      </c>
      <c r="AQ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2" t="str">
        <f>IF(OR(Infill[[#This Row],[Is Infill]],Infill[[#This Row],[Is Surface]])," { """&amp;Infill[[#This Row],[infill]]&amp;""", "&amp;Infill[[#This Row],[ip]]&amp;" },","")</f>
        <v/>
      </c>
      <c r="AT32" t="str">
        <f>IF(OR(Infill[[#This Row],[Is Infill]],Infill[[#This Row],[Is Surface]]),"def-&gt;enum_values.push_back("""&amp;Infill[[#This Row],[infill]]&amp;""");","")</f>
        <v/>
      </c>
      <c r="AU32" t="str">
        <f>IF(OR(Infill[[#This Row],[Is Infill]],Infill[[#This Row],[Is Surface]]),"def-&gt;enum_labels.push_back(L("""&amp;Infill[[#This Row],[name]]&amp;"""));","")</f>
        <v/>
      </c>
      <c r="AW32" t="str">
        <f>Infill[[#This Row],[SVG Link]]</f>
        <v>&lt;img alt="" src="https://github.com/OrcaSlicer/OrcaSlicer/blob/main/resources/images/.svg?raw=true" height="45"&gt;</v>
      </c>
      <c r="AX32" s="1" t="str">
        <f>"["&amp;Infill[[#This Row],[name]]&amp;"](strength_settings_patterns#"&amp;Infill[[#This Row],[nameMD]]&amp;")"</f>
        <v>[](strength_settings_patterns#)</v>
      </c>
      <c r="AY32" s="6" t="e">
        <f>"X-Y: "&amp;Infill[[#This Row],[X-Y Strength Icon]]&amp;"
Z: "&amp;Infill[[#This Row],[Z Strength Icon]]</f>
        <v>#N/A</v>
      </c>
      <c r="AZ32" s="1" t="e">
        <f>Infill[[#This Row],[Material Usage Icon]]</f>
        <v>#N/A</v>
      </c>
      <c r="BA32" s="1" t="e">
        <f>Infill[[#This Row],[Print Time Icon]]</f>
        <v>#N/A</v>
      </c>
      <c r="BB32" t="e">
        <f>Infill[[#This Row],[Layer time Variability Icon]]</f>
        <v>#N/A</v>
      </c>
      <c r="BC32" s="1" t="str">
        <f>Infill[[#This Row],[Multiline]]</f>
        <v>N/A</v>
      </c>
    </row>
    <row r="33" spans="2:55" x14ac:dyDescent="0.25">
      <c r="B33" s="2"/>
      <c r="E33">
        <v>30</v>
      </c>
      <c r="F33" t="b">
        <v>0</v>
      </c>
      <c r="G33" t="b">
        <v>0</v>
      </c>
      <c r="H33" t="b">
        <v>0</v>
      </c>
      <c r="K33" t="s">
        <v>114</v>
      </c>
      <c r="M33" t="s">
        <v>215</v>
      </c>
      <c r="N33" t="s">
        <v>215</v>
      </c>
      <c r="O33" t="s">
        <v>215</v>
      </c>
      <c r="P33" s="8"/>
      <c r="R33" t="e">
        <f>_xlfn.XLOOKUP(Infill[[#This Row],[XY-N]],Rating[N],Rating[Name])</f>
        <v>#N/A</v>
      </c>
      <c r="S33" t="e">
        <f>_xlfn.XLOOKUP(Infill[[#This Row],[XY-N]],Rating[N],Rating[level-to-better])</f>
        <v>#N/A</v>
      </c>
      <c r="U33" t="e">
        <f>_xlfn.XLOOKUP(Infill[[#This Row],[Z-N]],Rating[N],Rating[Name])</f>
        <v>#N/A</v>
      </c>
      <c r="V33" t="e">
        <f>_xlfn.XLOOKUP(Infill[[#This Row],[Z-N]],Rating[N],Rating[level-to-better])</f>
        <v>#N/A</v>
      </c>
      <c r="W33" s="11" t="e">
        <f>_xlfn.XLOOKUP(Infill[[#This Row],[infill]],Tabla7[infill],Tabla7[% 2 Sigma])</f>
        <v>#N/A</v>
      </c>
      <c r="X33" t="e">
        <f>_xlfn.XLOOKUP(Infill[[#This Row],[% 2 Sigma]],AbsRating[Max %],AbsRating[Name],,1)</f>
        <v>#N/A</v>
      </c>
      <c r="Y33" t="e">
        <f>_xlfn.XLOOKUP(Infill[[#This Row],[% 2 Sigma]],AbsRating[Max %],AbsRating[icon],,1)</f>
        <v>#N/A</v>
      </c>
      <c r="Z33" s="2"/>
      <c r="AA33" t="e">
        <f>_xlfn.XLOOKUP(Infill[[#This Row],[infill]],Tabla7[infill],Tabla7[g])</f>
        <v>#N/A</v>
      </c>
      <c r="AB33" s="2" t="e">
        <f>Infill[[#This Row],[g]]/(997.25*0.15)</f>
        <v>#N/A</v>
      </c>
      <c r="AC33" s="2" t="e">
        <f>_xlfn.XLOOKUP(Infill[[#This Row],[% Effective]],Rating[Max %],Rating[Name],,1)</f>
        <v>#N/A</v>
      </c>
      <c r="AD33" s="2" t="e">
        <f>_xlfn.XLOOKUP(Infill[[#This Row],[% Effective]],Rating[Max %],Rating[level-to-worse],,1)</f>
        <v>#N/A</v>
      </c>
      <c r="AE33" t="e">
        <f>_xlfn.XLOOKUP(Infill[[#This Row],[infill]],Tabla7[infill],Tabla7[Total Time])</f>
        <v>#N/A</v>
      </c>
      <c r="AF33" s="2" t="e">
        <f>Infill[[#This Row],[Total Time]]/AVERAGEIFS(Infill[Total Time],Infill[Material Usage Icon],_xlfn.XLOOKUP("Normal",Rating[Name],Rating[level-to-worse]))</f>
        <v>#N/A</v>
      </c>
      <c r="AG33" s="2" t="e">
        <f>_xlfn.XLOOKUP(Infill[[#This Row],[t prom]],Rating[Max %],Rating[Name],,1)</f>
        <v>#N/A</v>
      </c>
      <c r="AH33" s="2" t="e">
        <f>_xlfn.XLOOKUP(Infill[[#This Row],[t prom]],Rating[Max %],Rating[level-to-worse],,1)</f>
        <v>#N/A</v>
      </c>
      <c r="AI33" s="3" t="e">
        <f>Infill[[#This Row],[g]]/Infill[[#This Row],[Total Time]]</f>
        <v>#N/A</v>
      </c>
      <c r="AJ33" s="2" t="e">
        <f>Infill[[#This Row],[g/t]]/AVERAGEIFS(Infill[g/t],Infill[Material Usage Icon],_xlfn.XLOOKUP("Normal",Rating[Name],Rating[level-to-worse]))</f>
        <v>#N/A</v>
      </c>
      <c r="AK33" s="2" t="e">
        <f>_xlfn.XLOOKUP(Infill[[#This Row],[g/t prom]],Rating[Max %],Rating[Name],,1)</f>
        <v>#N/A</v>
      </c>
      <c r="AL33" s="2" t="e">
        <f>_xlfn.XLOOKUP(Infill[[#This Row],[g/t prom]],Rating[Max %],Rating[level-to-better],,1)</f>
        <v>#N/A</v>
      </c>
      <c r="AM33" s="2" t="str">
        <f>SUBSTITUTE(LOWER(Infill[[#This Row],[name]])," ","-")</f>
        <v/>
      </c>
      <c r="AO33" t="str">
        <f>"&lt;img alt=""" &amp; Infill[[#This Row],[SVG]] &amp; """ src=""https://github.com/OrcaSlicer/OrcaSlicer/blob/main/resources/images/" &amp; Infill[[#This Row],[SVG]] &amp; ".svg?raw=true"" height=""45""&gt;"</f>
        <v>&lt;img alt="" src="https://github.com/OrcaSlicer/OrcaSlicer/blob/main/resources/images/.svg?raw=true" height="45"&gt;</v>
      </c>
      <c r="AP33" s="2" t="str">
        <f>"["&amp;Infill[[#This Row],[name]]&amp;"](#"&amp;Infill[[#This Row],[nameMD]]&amp;")"</f>
        <v>[](#)</v>
      </c>
      <c r="AQ3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3"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3" t="str">
        <f>IF(OR(Infill[[#This Row],[Is Infill]],Infill[[#This Row],[Is Surface]])," { """&amp;Infill[[#This Row],[infill]]&amp;""", "&amp;Infill[[#This Row],[ip]]&amp;" },","")</f>
        <v/>
      </c>
      <c r="AT33" t="str">
        <f>IF(OR(Infill[[#This Row],[Is Infill]],Infill[[#This Row],[Is Surface]]),"def-&gt;enum_values.push_back("""&amp;Infill[[#This Row],[infill]]&amp;""");","")</f>
        <v/>
      </c>
      <c r="AU33" t="str">
        <f>IF(OR(Infill[[#This Row],[Is Infill]],Infill[[#This Row],[Is Surface]]),"def-&gt;enum_labels.push_back(L("""&amp;Infill[[#This Row],[name]]&amp;"""));","")</f>
        <v/>
      </c>
      <c r="AW33" t="str">
        <f>Infill[[#This Row],[SVG Link]]</f>
        <v>&lt;img alt="" src="https://github.com/OrcaSlicer/OrcaSlicer/blob/main/resources/images/.svg?raw=true" height="45"&gt;</v>
      </c>
      <c r="AX33" s="1" t="str">
        <f>"["&amp;Infill[[#This Row],[name]]&amp;"](strength_settings_patterns#"&amp;Infill[[#This Row],[nameMD]]&amp;")"</f>
        <v>[](strength_settings_patterns#)</v>
      </c>
      <c r="AY33" s="6" t="e">
        <f>"X-Y: "&amp;Infill[[#This Row],[X-Y Strength Icon]]&amp;"
Z: "&amp;Infill[[#This Row],[Z Strength Icon]]</f>
        <v>#N/A</v>
      </c>
      <c r="AZ33" s="1" t="e">
        <f>Infill[[#This Row],[Material Usage Icon]]</f>
        <v>#N/A</v>
      </c>
      <c r="BA33" s="1" t="e">
        <f>Infill[[#This Row],[Print Time Icon]]</f>
        <v>#N/A</v>
      </c>
      <c r="BB33" t="e">
        <f>Infill[[#This Row],[Layer time Variability Icon]]</f>
        <v>#N/A</v>
      </c>
      <c r="BC33" s="1" t="str">
        <f>Infill[[#This Row],[Multiline]]</f>
        <v>N/A</v>
      </c>
    </row>
    <row r="34" spans="2:55" x14ac:dyDescent="0.25">
      <c r="B34" s="2"/>
      <c r="O34" t="s">
        <v>215</v>
      </c>
    </row>
    <row r="35" spans="2:55" x14ac:dyDescent="0.25">
      <c r="B35" s="2"/>
      <c r="O35" t="s">
        <v>215</v>
      </c>
    </row>
    <row r="36" spans="2:55" x14ac:dyDescent="0.25">
      <c r="B36" s="2"/>
      <c r="O36" t="s">
        <v>215</v>
      </c>
    </row>
    <row r="37" spans="2:55" x14ac:dyDescent="0.25">
      <c r="O37" t="s">
        <v>215</v>
      </c>
    </row>
  </sheetData>
  <phoneticPr fontId="2" type="noConversion"/>
  <conditionalFormatting sqref="AB2:AC33">
    <cfRule type="colorScale" priority="87">
      <colorScale>
        <cfvo type="min"/>
        <cfvo type="percentile" val="50"/>
        <cfvo type="max"/>
        <color rgb="FFF8696B"/>
        <color rgb="FFFFEB84"/>
        <color rgb="FF63BE7B"/>
      </colorScale>
    </cfRule>
  </conditionalFormatting>
  <conditionalFormatting sqref="AF2:AG33">
    <cfRule type="colorScale" priority="89">
      <colorScale>
        <cfvo type="min"/>
        <cfvo type="percentile" val="50"/>
        <cfvo type="max"/>
        <color rgb="FF63BE7B"/>
        <color rgb="FFFFEB84"/>
        <color rgb="FFF8696B"/>
      </colorScale>
    </cfRule>
  </conditionalFormatting>
  <conditionalFormatting sqref="AI2:AI33">
    <cfRule type="colorScale" priority="91">
      <colorScale>
        <cfvo type="min"/>
        <cfvo type="percentile" val="50"/>
        <cfvo type="max"/>
        <color rgb="FFF8696B"/>
        <color rgb="FFFFEB84"/>
        <color rgb="FF63BE7B"/>
      </colorScale>
    </cfRule>
  </conditionalFormatting>
  <conditionalFormatting sqref="AJ2:AK33">
    <cfRule type="colorScale" priority="93">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68</v>
      </c>
      <c r="C1" t="s">
        <v>39</v>
      </c>
      <c r="D1" t="s">
        <v>221</v>
      </c>
      <c r="E1" t="s">
        <v>220</v>
      </c>
      <c r="G1" t="s">
        <v>68</v>
      </c>
      <c r="H1" t="s">
        <v>39</v>
      </c>
      <c r="I1" t="s">
        <v>227</v>
      </c>
    </row>
    <row r="2" spans="1:9" x14ac:dyDescent="0.25">
      <c r="A2">
        <v>0</v>
      </c>
      <c r="B2" s="7">
        <v>0.15</v>
      </c>
      <c r="C2" t="s">
        <v>64</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232</v>
      </c>
      <c r="I2" t="s">
        <v>237</v>
      </c>
    </row>
    <row r="3" spans="1:9" x14ac:dyDescent="0.25">
      <c r="A3">
        <v>1</v>
      </c>
      <c r="B3" s="7">
        <v>0.4</v>
      </c>
      <c r="C3" t="s">
        <v>65</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233</v>
      </c>
      <c r="I3" t="s">
        <v>238</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234</v>
      </c>
      <c r="I4" t="s">
        <v>239</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235</v>
      </c>
      <c r="I5" t="s">
        <v>240</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66</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67</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219</v>
      </c>
    </row>
    <row r="20" spans="13:21" x14ac:dyDescent="0.25">
      <c r="M20" t="s">
        <v>40</v>
      </c>
      <c r="N20" t="s">
        <v>68</v>
      </c>
      <c r="O20" t="s">
        <v>39</v>
      </c>
      <c r="P20" t="s">
        <v>192</v>
      </c>
      <c r="Q20" t="s">
        <v>193</v>
      </c>
      <c r="S20" t="s">
        <v>68</v>
      </c>
      <c r="T20" t="s">
        <v>39</v>
      </c>
      <c r="U20" t="s">
        <v>227</v>
      </c>
    </row>
    <row r="21" spans="13:21" x14ac:dyDescent="0.25">
      <c r="M21">
        <v>0</v>
      </c>
      <c r="N21" s="7">
        <v>0.15</v>
      </c>
      <c r="O21" t="s">
        <v>64</v>
      </c>
      <c r="P21" t="s">
        <v>211</v>
      </c>
      <c r="Q21" t="s">
        <v>210</v>
      </c>
      <c r="S21" s="2">
        <v>0.01</v>
      </c>
      <c r="T21" t="s">
        <v>232</v>
      </c>
      <c r="U21" t="s">
        <v>228</v>
      </c>
    </row>
    <row r="22" spans="13:21" x14ac:dyDescent="0.25">
      <c r="M22">
        <v>1</v>
      </c>
      <c r="N22" s="7">
        <v>0.4</v>
      </c>
      <c r="O22" t="s">
        <v>65</v>
      </c>
      <c r="P22" t="s">
        <v>195</v>
      </c>
      <c r="Q22" t="s">
        <v>209</v>
      </c>
      <c r="S22" s="2">
        <v>0.3</v>
      </c>
      <c r="T22" t="s">
        <v>233</v>
      </c>
      <c r="U22" t="s">
        <v>229</v>
      </c>
    </row>
    <row r="23" spans="13:21" x14ac:dyDescent="0.25">
      <c r="M23">
        <v>2</v>
      </c>
      <c r="N23" s="7">
        <v>0.75</v>
      </c>
      <c r="O23" t="s">
        <v>21</v>
      </c>
      <c r="P23" t="s">
        <v>196</v>
      </c>
      <c r="Q23" t="s">
        <v>208</v>
      </c>
      <c r="S23" s="2">
        <v>0.75</v>
      </c>
      <c r="T23" t="s">
        <v>234</v>
      </c>
      <c r="U23" t="s">
        <v>230</v>
      </c>
    </row>
    <row r="24" spans="13:21" x14ac:dyDescent="0.25">
      <c r="M24">
        <v>3</v>
      </c>
      <c r="N24" s="7">
        <v>0.92500000000000004</v>
      </c>
      <c r="O24" t="s">
        <v>23</v>
      </c>
      <c r="P24" t="s">
        <v>197</v>
      </c>
      <c r="Q24" t="s">
        <v>207</v>
      </c>
      <c r="S24" s="2">
        <v>999</v>
      </c>
      <c r="T24" t="s">
        <v>235</v>
      </c>
      <c r="U24" t="s">
        <v>231</v>
      </c>
    </row>
    <row r="25" spans="13:21" x14ac:dyDescent="0.25">
      <c r="M25">
        <v>4</v>
      </c>
      <c r="N25" s="7">
        <v>1.075</v>
      </c>
      <c r="O25" t="s">
        <v>22</v>
      </c>
      <c r="P25" t="s">
        <v>198</v>
      </c>
      <c r="Q25" t="s">
        <v>198</v>
      </c>
    </row>
    <row r="26" spans="13:21" x14ac:dyDescent="0.25">
      <c r="M26">
        <v>5</v>
      </c>
      <c r="N26" s="7">
        <v>1.25</v>
      </c>
      <c r="O26" t="s">
        <v>24</v>
      </c>
      <c r="P26" t="s">
        <v>199</v>
      </c>
      <c r="Q26" t="s">
        <v>206</v>
      </c>
    </row>
    <row r="27" spans="13:21" x14ac:dyDescent="0.25">
      <c r="M27">
        <v>6</v>
      </c>
      <c r="N27" s="7">
        <v>1.6</v>
      </c>
      <c r="O27" t="s">
        <v>20</v>
      </c>
      <c r="P27" t="s">
        <v>200</v>
      </c>
      <c r="Q27" t="s">
        <v>205</v>
      </c>
    </row>
    <row r="28" spans="13:21" x14ac:dyDescent="0.25">
      <c r="M28">
        <v>7</v>
      </c>
      <c r="N28" s="7">
        <v>1.85</v>
      </c>
      <c r="O28" t="s">
        <v>66</v>
      </c>
      <c r="P28" t="s">
        <v>201</v>
      </c>
      <c r="Q28" t="s">
        <v>204</v>
      </c>
    </row>
    <row r="29" spans="13:21" x14ac:dyDescent="0.25">
      <c r="M29">
        <v>8</v>
      </c>
      <c r="N29" s="7">
        <v>9.99</v>
      </c>
      <c r="O29" t="s">
        <v>67</v>
      </c>
      <c r="P29" t="s">
        <v>202</v>
      </c>
      <c r="Q29" t="s">
        <v>203</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D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16.42578125"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30" x14ac:dyDescent="0.25">
      <c r="A1" t="s">
        <v>187</v>
      </c>
      <c r="B1" t="s">
        <v>128</v>
      </c>
      <c r="C1" t="s">
        <v>126</v>
      </c>
      <c r="D1" t="s">
        <v>127</v>
      </c>
      <c r="E1" t="s">
        <v>130</v>
      </c>
      <c r="F1" t="s">
        <v>117</v>
      </c>
      <c r="G1" t="s">
        <v>134</v>
      </c>
      <c r="H1" t="s">
        <v>137</v>
      </c>
      <c r="I1" t="s">
        <v>120</v>
      </c>
      <c r="J1" t="s">
        <v>118</v>
      </c>
      <c r="K1" t="s">
        <v>123</v>
      </c>
      <c r="L1" t="s">
        <v>129</v>
      </c>
      <c r="M1" t="s">
        <v>125</v>
      </c>
      <c r="N1" t="s">
        <v>177</v>
      </c>
      <c r="O1" t="s">
        <v>178</v>
      </c>
      <c r="P1" t="s">
        <v>133</v>
      </c>
      <c r="Q1" t="s">
        <v>119</v>
      </c>
      <c r="R1" t="s">
        <v>138</v>
      </c>
      <c r="S1" t="s">
        <v>139</v>
      </c>
      <c r="T1" t="s">
        <v>140</v>
      </c>
      <c r="U1" t="s">
        <v>131</v>
      </c>
      <c r="V1" t="s">
        <v>135</v>
      </c>
      <c r="W1" t="s">
        <v>158</v>
      </c>
      <c r="X1" t="s">
        <v>250</v>
      </c>
      <c r="Y1" t="s">
        <v>132</v>
      </c>
      <c r="Z1" t="s">
        <v>124</v>
      </c>
      <c r="AA1" t="s">
        <v>161</v>
      </c>
      <c r="AB1" t="s">
        <v>122</v>
      </c>
      <c r="AC1" t="s">
        <v>121</v>
      </c>
      <c r="AD1" t="s">
        <v>136</v>
      </c>
    </row>
    <row r="2" spans="1:30"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52.658999999999999</v>
      </c>
      <c r="Y2">
        <v>8.0340000000000007</v>
      </c>
      <c r="Z2">
        <v>58.600999999999999</v>
      </c>
      <c r="AA2">
        <v>60.755000000000003</v>
      </c>
      <c r="AB2">
        <v>27.95</v>
      </c>
      <c r="AC2">
        <v>28.423999999999999</v>
      </c>
      <c r="AD2">
        <v>29.087</v>
      </c>
    </row>
    <row r="3" spans="1:30"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52.686</v>
      </c>
      <c r="Y3">
        <v>8.4890000000000008</v>
      </c>
      <c r="Z3">
        <v>46.398000000000003</v>
      </c>
      <c r="AA3">
        <v>67.031000000000006</v>
      </c>
      <c r="AB3">
        <v>30.283999999999999</v>
      </c>
      <c r="AC3">
        <v>29.981999999999999</v>
      </c>
      <c r="AD3">
        <v>31.823</v>
      </c>
    </row>
    <row r="4" spans="1:30"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52.686</v>
      </c>
      <c r="Y4">
        <v>8.0589999999999993</v>
      </c>
      <c r="Z4">
        <v>41.618000000000002</v>
      </c>
      <c r="AA4">
        <v>71.195999999999998</v>
      </c>
      <c r="AB4">
        <v>28.126999999999999</v>
      </c>
      <c r="AC4">
        <v>28.312000000000001</v>
      </c>
      <c r="AD4">
        <v>29.114000000000001</v>
      </c>
    </row>
    <row r="5" spans="1:30"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52.686</v>
      </c>
      <c r="Y5">
        <v>8.0570000000000004</v>
      </c>
      <c r="Z5">
        <v>27.588000000000001</v>
      </c>
      <c r="AA5">
        <v>81.046999999999997</v>
      </c>
      <c r="AB5">
        <v>28.126999999999999</v>
      </c>
      <c r="AC5">
        <v>28.312000000000001</v>
      </c>
      <c r="AD5">
        <v>29.494</v>
      </c>
    </row>
    <row r="6" spans="1:30"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52.686</v>
      </c>
      <c r="Y6">
        <v>8.0579999999999998</v>
      </c>
      <c r="Z6">
        <v>38.218000000000004</v>
      </c>
      <c r="AA6">
        <v>86.525999999999996</v>
      </c>
      <c r="AB6">
        <v>28.126999999999999</v>
      </c>
      <c r="AC6">
        <v>28.312000000000001</v>
      </c>
      <c r="AD6">
        <v>29.114000000000001</v>
      </c>
    </row>
    <row r="7" spans="1:30"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52.686</v>
      </c>
      <c r="Y7">
        <v>8.0549999999999997</v>
      </c>
      <c r="Z7">
        <v>42.447000000000003</v>
      </c>
      <c r="AA7">
        <v>88.486000000000004</v>
      </c>
      <c r="AB7">
        <v>28.126999999999999</v>
      </c>
      <c r="AC7">
        <v>28.312000000000001</v>
      </c>
      <c r="AD7">
        <v>29.494</v>
      </c>
    </row>
    <row r="8" spans="1:30"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52.686</v>
      </c>
      <c r="Y8">
        <v>8.0559999999999992</v>
      </c>
      <c r="Z8">
        <v>58.168999999999997</v>
      </c>
      <c r="AA8">
        <v>86.64</v>
      </c>
      <c r="AB8">
        <v>28.126999999999999</v>
      </c>
      <c r="AC8">
        <v>28.312000000000001</v>
      </c>
      <c r="AD8">
        <v>29.114000000000001</v>
      </c>
    </row>
    <row r="9" spans="1:30"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52.686</v>
      </c>
      <c r="Y9">
        <v>8.0530000000000008</v>
      </c>
      <c r="Z9">
        <v>72.268000000000001</v>
      </c>
      <c r="AA9">
        <v>89.997</v>
      </c>
      <c r="AB9">
        <v>28.126999999999999</v>
      </c>
      <c r="AC9">
        <v>28.312000000000001</v>
      </c>
      <c r="AD9">
        <v>29.494</v>
      </c>
    </row>
    <row r="10" spans="1:30"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52.686</v>
      </c>
      <c r="Y10">
        <v>8.0500000000000007</v>
      </c>
      <c r="Z10">
        <v>84.582999999999998</v>
      </c>
      <c r="AA10">
        <v>73.790000000000006</v>
      </c>
      <c r="AB10">
        <v>28.126999999999999</v>
      </c>
      <c r="AC10">
        <v>28.312000000000001</v>
      </c>
      <c r="AD10">
        <v>29.114000000000001</v>
      </c>
    </row>
    <row r="11" spans="1:30"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52.686</v>
      </c>
      <c r="Y11">
        <v>8.0510000000000002</v>
      </c>
      <c r="Z11">
        <v>78.269000000000005</v>
      </c>
      <c r="AA11">
        <v>66.744</v>
      </c>
      <c r="AB11">
        <v>28.126999999999999</v>
      </c>
      <c r="AC11">
        <v>28.312000000000001</v>
      </c>
      <c r="AD11">
        <v>29.494</v>
      </c>
    </row>
    <row r="12" spans="1:30"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52.686</v>
      </c>
      <c r="Y12">
        <v>8.048</v>
      </c>
      <c r="Z12">
        <v>64.254000000000005</v>
      </c>
      <c r="AA12">
        <v>61.420999999999999</v>
      </c>
      <c r="AB12">
        <v>28.126999999999999</v>
      </c>
      <c r="AC12">
        <v>28.312000000000001</v>
      </c>
      <c r="AD12">
        <v>29.114000000000001</v>
      </c>
    </row>
    <row r="13" spans="1:30"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52.686</v>
      </c>
      <c r="Y13">
        <v>8.0489999999999995</v>
      </c>
      <c r="Z13">
        <v>47.48</v>
      </c>
      <c r="AA13">
        <v>57.996000000000002</v>
      </c>
      <c r="AB13">
        <v>28.126999999999999</v>
      </c>
      <c r="AC13">
        <v>28.312000000000001</v>
      </c>
      <c r="AD13">
        <v>29.494</v>
      </c>
    </row>
    <row r="14" spans="1:30"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52.686</v>
      </c>
      <c r="Y14">
        <v>8.0459999999999994</v>
      </c>
      <c r="Z14">
        <v>30.681999999999999</v>
      </c>
      <c r="AA14">
        <v>56.189</v>
      </c>
      <c r="AB14">
        <v>28.126999999999999</v>
      </c>
      <c r="AC14">
        <v>28.312000000000001</v>
      </c>
      <c r="AD14">
        <v>29.114000000000001</v>
      </c>
    </row>
    <row r="15" spans="1:30"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52.686</v>
      </c>
      <c r="Y15">
        <v>8.0429999999999993</v>
      </c>
      <c r="Z15">
        <v>28.047999999999998</v>
      </c>
      <c r="AA15">
        <v>57.281999999999996</v>
      </c>
      <c r="AB15">
        <v>28.126999999999999</v>
      </c>
      <c r="AC15">
        <v>28.312000000000001</v>
      </c>
      <c r="AD15">
        <v>29.494</v>
      </c>
    </row>
    <row r="16" spans="1:30"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52.686</v>
      </c>
      <c r="Y16">
        <v>8.0429999999999993</v>
      </c>
      <c r="Z16">
        <v>33.46</v>
      </c>
      <c r="AA16">
        <v>60.151000000000003</v>
      </c>
      <c r="AB16">
        <v>28.126999999999999</v>
      </c>
      <c r="AC16">
        <v>28.312000000000001</v>
      </c>
      <c r="AD16">
        <v>29.114000000000001</v>
      </c>
    </row>
    <row r="17" spans="1:30"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52.686</v>
      </c>
      <c r="Y17">
        <v>8.0399999999999991</v>
      </c>
      <c r="Z17">
        <v>39.274000000000001</v>
      </c>
      <c r="AA17">
        <v>64.522000000000006</v>
      </c>
      <c r="AB17">
        <v>28.126999999999999</v>
      </c>
      <c r="AC17">
        <v>28.312000000000001</v>
      </c>
      <c r="AD17">
        <v>29.494</v>
      </c>
    </row>
    <row r="18" spans="1:30"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52.686</v>
      </c>
      <c r="Y18">
        <v>8.0399999999999991</v>
      </c>
      <c r="Z18">
        <v>55.591000000000001</v>
      </c>
      <c r="AA18">
        <v>70.882999999999996</v>
      </c>
      <c r="AB18">
        <v>28.126999999999999</v>
      </c>
      <c r="AC18">
        <v>28.312000000000001</v>
      </c>
      <c r="AD18">
        <v>29.114000000000001</v>
      </c>
    </row>
    <row r="19" spans="1:30"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52.686</v>
      </c>
      <c r="Y19">
        <v>8.0370000000000008</v>
      </c>
      <c r="Z19">
        <v>69.158000000000001</v>
      </c>
      <c r="AA19">
        <v>78.393000000000001</v>
      </c>
      <c r="AB19">
        <v>28.126999999999999</v>
      </c>
      <c r="AC19">
        <v>28.312000000000001</v>
      </c>
      <c r="AD19">
        <v>29.494</v>
      </c>
    </row>
    <row r="20" spans="1:30"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52.686</v>
      </c>
      <c r="Y20">
        <v>8.0370000000000008</v>
      </c>
      <c r="Z20">
        <v>81.409000000000006</v>
      </c>
      <c r="AA20">
        <v>87.194000000000003</v>
      </c>
      <c r="AB20">
        <v>28.126999999999999</v>
      </c>
      <c r="AC20">
        <v>28.312000000000001</v>
      </c>
      <c r="AD20">
        <v>29.114000000000001</v>
      </c>
    </row>
    <row r="21" spans="1:30"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52.686</v>
      </c>
      <c r="Y21">
        <v>8.0340000000000007</v>
      </c>
      <c r="Z21">
        <v>74.948999999999998</v>
      </c>
      <c r="AA21">
        <v>85.852999999999994</v>
      </c>
      <c r="AB21">
        <v>28.126999999999999</v>
      </c>
      <c r="AC21">
        <v>28.312000000000001</v>
      </c>
      <c r="AD21">
        <v>29.494</v>
      </c>
    </row>
    <row r="22" spans="1:30"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52.686</v>
      </c>
      <c r="Y22">
        <v>8.0299999999999994</v>
      </c>
      <c r="Z22">
        <v>62.527999999999999</v>
      </c>
      <c r="AA22">
        <v>85.644000000000005</v>
      </c>
      <c r="AB22">
        <v>28.126999999999999</v>
      </c>
      <c r="AC22">
        <v>28.312000000000001</v>
      </c>
      <c r="AD22">
        <v>29.114000000000001</v>
      </c>
    </row>
    <row r="23" spans="1:30"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52.686</v>
      </c>
      <c r="Y23">
        <v>8.0299999999999994</v>
      </c>
      <c r="Z23">
        <v>48.893000000000001</v>
      </c>
      <c r="AA23">
        <v>88.876000000000005</v>
      </c>
      <c r="AB23">
        <v>28.126999999999999</v>
      </c>
      <c r="AC23">
        <v>28.312000000000001</v>
      </c>
      <c r="AD23">
        <v>29.494</v>
      </c>
    </row>
    <row r="24" spans="1:30"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52.686</v>
      </c>
      <c r="Y24">
        <v>8.0259999999999998</v>
      </c>
      <c r="Z24">
        <v>35.405999999999999</v>
      </c>
      <c r="AA24">
        <v>74.899000000000001</v>
      </c>
      <c r="AB24">
        <v>28.126999999999999</v>
      </c>
      <c r="AC24">
        <v>28.312000000000001</v>
      </c>
      <c r="AD24">
        <v>29.114000000000001</v>
      </c>
    </row>
    <row r="25" spans="1:30"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52.686</v>
      </c>
      <c r="Y25">
        <v>8.0259999999999998</v>
      </c>
      <c r="Z25">
        <v>27.625</v>
      </c>
      <c r="AA25">
        <v>67.474999999999994</v>
      </c>
      <c r="AB25">
        <v>28.126999999999999</v>
      </c>
      <c r="AC25">
        <v>28.312000000000001</v>
      </c>
      <c r="AD25">
        <v>29.494</v>
      </c>
    </row>
    <row r="26" spans="1:30"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52.686</v>
      </c>
      <c r="Y26">
        <v>8.0220000000000002</v>
      </c>
      <c r="Z26">
        <v>29.172000000000001</v>
      </c>
      <c r="AA26">
        <v>62.154000000000003</v>
      </c>
      <c r="AB26">
        <v>28.126999999999999</v>
      </c>
      <c r="AC26">
        <v>28.312000000000001</v>
      </c>
      <c r="AD26">
        <v>29.114000000000001</v>
      </c>
    </row>
    <row r="27" spans="1:30"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52.686</v>
      </c>
      <c r="Y27">
        <v>8.0220000000000002</v>
      </c>
      <c r="Z27">
        <v>37.752000000000002</v>
      </c>
      <c r="AA27">
        <v>58.781999999999996</v>
      </c>
      <c r="AB27">
        <v>28.126999999999999</v>
      </c>
      <c r="AC27">
        <v>28.312000000000001</v>
      </c>
      <c r="AD27">
        <v>29.494</v>
      </c>
    </row>
    <row r="28" spans="1:30"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52.686</v>
      </c>
      <c r="Y28">
        <v>8.0180000000000007</v>
      </c>
      <c r="Z28">
        <v>53.572000000000003</v>
      </c>
      <c r="AA28">
        <v>56.795000000000002</v>
      </c>
      <c r="AB28">
        <v>28.126999999999999</v>
      </c>
      <c r="AC28">
        <v>28.312000000000001</v>
      </c>
      <c r="AD28">
        <v>29.114000000000001</v>
      </c>
    </row>
    <row r="29" spans="1:30"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52.686</v>
      </c>
      <c r="Y29">
        <v>8.0169999999999995</v>
      </c>
      <c r="Z29">
        <v>68.509</v>
      </c>
      <c r="AA29">
        <v>57.24</v>
      </c>
      <c r="AB29">
        <v>28.126999999999999</v>
      </c>
      <c r="AC29">
        <v>28.312000000000001</v>
      </c>
      <c r="AD29">
        <v>29.494</v>
      </c>
    </row>
    <row r="30" spans="1:30"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52.686</v>
      </c>
      <c r="Y30">
        <v>8.0120000000000005</v>
      </c>
      <c r="Z30">
        <v>80.992000000000004</v>
      </c>
      <c r="AA30">
        <v>59.506</v>
      </c>
      <c r="AB30">
        <v>28.126999999999999</v>
      </c>
      <c r="AC30">
        <v>28.312000000000001</v>
      </c>
      <c r="AD30">
        <v>29.114000000000001</v>
      </c>
    </row>
    <row r="31" spans="1:30"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52.686</v>
      </c>
      <c r="Y31">
        <v>8.0079999999999991</v>
      </c>
      <c r="Z31">
        <v>82.475999999999999</v>
      </c>
      <c r="AA31">
        <v>63.48</v>
      </c>
      <c r="AB31">
        <v>28.126999999999999</v>
      </c>
      <c r="AC31">
        <v>28.312000000000001</v>
      </c>
      <c r="AD31">
        <v>29.494</v>
      </c>
    </row>
    <row r="32" spans="1:30"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52.686</v>
      </c>
      <c r="Y32">
        <v>8.0069999999999997</v>
      </c>
      <c r="Z32">
        <v>68.22</v>
      </c>
      <c r="AA32">
        <v>68.998999999999995</v>
      </c>
      <c r="AB32">
        <v>28.126999999999999</v>
      </c>
      <c r="AC32">
        <v>28.312000000000001</v>
      </c>
      <c r="AD32">
        <v>29.114000000000001</v>
      </c>
    </row>
    <row r="33" spans="1:30"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52.686</v>
      </c>
      <c r="Y33">
        <v>8.0020000000000007</v>
      </c>
      <c r="Z33">
        <v>52.72</v>
      </c>
      <c r="AA33">
        <v>77.423000000000002</v>
      </c>
      <c r="AB33">
        <v>28.126999999999999</v>
      </c>
      <c r="AC33">
        <v>28.312000000000001</v>
      </c>
      <c r="AD33">
        <v>29.494</v>
      </c>
    </row>
    <row r="34" spans="1:30"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52.686</v>
      </c>
      <c r="Y34">
        <v>8</v>
      </c>
      <c r="Z34">
        <v>36.372999999999998</v>
      </c>
      <c r="AA34">
        <v>87.635999999999996</v>
      </c>
      <c r="AB34">
        <v>28.126999999999999</v>
      </c>
      <c r="AC34">
        <v>28.312000000000001</v>
      </c>
      <c r="AD34">
        <v>29.114000000000001</v>
      </c>
    </row>
    <row r="35" spans="1:30"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52.686</v>
      </c>
      <c r="Y35">
        <v>7.9950000000000001</v>
      </c>
      <c r="Z35">
        <v>27.875</v>
      </c>
      <c r="AA35">
        <v>84.299000000000007</v>
      </c>
      <c r="AB35">
        <v>28.126999999999999</v>
      </c>
      <c r="AC35">
        <v>28.312000000000001</v>
      </c>
      <c r="AD35">
        <v>29.494</v>
      </c>
    </row>
    <row r="36" spans="1:30"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52.686</v>
      </c>
      <c r="Y36">
        <v>7.9930000000000003</v>
      </c>
      <c r="Z36">
        <v>27.666</v>
      </c>
      <c r="AA36">
        <v>84.563000000000002</v>
      </c>
      <c r="AB36">
        <v>28.126999999999999</v>
      </c>
      <c r="AC36">
        <v>28.312000000000001</v>
      </c>
      <c r="AD36">
        <v>29.114000000000001</v>
      </c>
    </row>
    <row r="37" spans="1:30"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52.686</v>
      </c>
      <c r="Y37">
        <v>7.9870000000000001</v>
      </c>
      <c r="Z37">
        <v>34.917999999999999</v>
      </c>
      <c r="AA37">
        <v>88.483000000000004</v>
      </c>
      <c r="AB37">
        <v>28.126999999999999</v>
      </c>
      <c r="AC37">
        <v>28.312000000000001</v>
      </c>
      <c r="AD37">
        <v>29.494</v>
      </c>
    </row>
    <row r="38" spans="1:30"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52.686</v>
      </c>
      <c r="Y38">
        <v>7.984</v>
      </c>
      <c r="Z38">
        <v>50.845999999999997</v>
      </c>
      <c r="AA38">
        <v>76.536000000000001</v>
      </c>
      <c r="AB38">
        <v>28.126999999999999</v>
      </c>
      <c r="AC38">
        <v>28.312000000000001</v>
      </c>
      <c r="AD38">
        <v>29.114000000000001</v>
      </c>
    </row>
    <row r="39" spans="1:30"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52.686</v>
      </c>
      <c r="Y39">
        <v>7.9770000000000003</v>
      </c>
      <c r="Z39">
        <v>65.540000000000006</v>
      </c>
      <c r="AA39">
        <v>69.108999999999995</v>
      </c>
      <c r="AB39">
        <v>28.126999999999999</v>
      </c>
      <c r="AC39">
        <v>28.312000000000001</v>
      </c>
      <c r="AD39">
        <v>29.494</v>
      </c>
    </row>
    <row r="40" spans="1:30"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52.686</v>
      </c>
      <c r="Y40">
        <v>7.9740000000000002</v>
      </c>
      <c r="Z40">
        <v>78.375</v>
      </c>
      <c r="AA40">
        <v>63.378999999999998</v>
      </c>
      <c r="AB40">
        <v>28.126999999999999</v>
      </c>
      <c r="AC40">
        <v>28.312000000000001</v>
      </c>
      <c r="AD40">
        <v>29.114000000000001</v>
      </c>
    </row>
    <row r="41" spans="1:30"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52.686</v>
      </c>
      <c r="Y41">
        <v>7.9660000000000002</v>
      </c>
      <c r="Z41">
        <v>77.674999999999997</v>
      </c>
      <c r="AA41">
        <v>59.305999999999997</v>
      </c>
      <c r="AB41">
        <v>28.126999999999999</v>
      </c>
      <c r="AC41">
        <v>28.312000000000001</v>
      </c>
      <c r="AD41">
        <v>29.494</v>
      </c>
    </row>
    <row r="42" spans="1:30"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52.686</v>
      </c>
      <c r="Y42">
        <v>7.9610000000000003</v>
      </c>
      <c r="Z42">
        <v>66.376999999999995</v>
      </c>
      <c r="AA42">
        <v>56.844999999999999</v>
      </c>
      <c r="AB42">
        <v>28.126999999999999</v>
      </c>
      <c r="AC42">
        <v>28.312000000000001</v>
      </c>
      <c r="AD42">
        <v>29.114000000000001</v>
      </c>
    </row>
    <row r="43" spans="1:30"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52.686</v>
      </c>
      <c r="Y43">
        <v>7.952</v>
      </c>
      <c r="Z43">
        <v>53.014000000000003</v>
      </c>
      <c r="AA43">
        <v>56.63</v>
      </c>
      <c r="AB43">
        <v>28.126999999999999</v>
      </c>
      <c r="AC43">
        <v>28.312000000000001</v>
      </c>
      <c r="AD43">
        <v>29.494</v>
      </c>
    </row>
    <row r="44" spans="1:30"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52.686</v>
      </c>
      <c r="Y44">
        <v>7.9409999999999998</v>
      </c>
      <c r="Z44">
        <v>37.973999999999997</v>
      </c>
      <c r="AA44">
        <v>58.78</v>
      </c>
      <c r="AB44">
        <v>28.126999999999999</v>
      </c>
      <c r="AC44">
        <v>28.312000000000001</v>
      </c>
      <c r="AD44">
        <v>29.114000000000001</v>
      </c>
    </row>
    <row r="45" spans="1:30"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52.686</v>
      </c>
      <c r="Y45">
        <v>7.931</v>
      </c>
      <c r="Z45">
        <v>30.550999999999998</v>
      </c>
      <c r="AA45">
        <v>62.664000000000001</v>
      </c>
      <c r="AB45">
        <v>28.126999999999999</v>
      </c>
      <c r="AC45">
        <v>28.312000000000001</v>
      </c>
      <c r="AD45">
        <v>29.494</v>
      </c>
    </row>
    <row r="46" spans="1:30"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52.686</v>
      </c>
      <c r="Y46">
        <v>7.9119999999999999</v>
      </c>
      <c r="Z46">
        <v>27.719000000000001</v>
      </c>
      <c r="AA46">
        <v>68.512</v>
      </c>
      <c r="AB46">
        <v>28.126999999999999</v>
      </c>
      <c r="AC46">
        <v>28.312000000000001</v>
      </c>
      <c r="AD46">
        <v>29.114000000000001</v>
      </c>
    </row>
    <row r="47" spans="1:30"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52.686</v>
      </c>
      <c r="Y47">
        <v>7.915</v>
      </c>
      <c r="Z47">
        <v>35.588000000000001</v>
      </c>
      <c r="AA47">
        <v>75.822999999999993</v>
      </c>
      <c r="AB47">
        <v>28.126999999999999</v>
      </c>
      <c r="AC47">
        <v>28.312000000000001</v>
      </c>
      <c r="AD47">
        <v>29.494</v>
      </c>
    </row>
    <row r="48" spans="1:30"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52.686</v>
      </c>
      <c r="Y48">
        <v>7.9340000000000002</v>
      </c>
      <c r="Z48">
        <v>48.982999999999997</v>
      </c>
      <c r="AA48">
        <v>88.790999999999997</v>
      </c>
      <c r="AB48">
        <v>28.126999999999999</v>
      </c>
      <c r="AC48">
        <v>28.312000000000001</v>
      </c>
      <c r="AD48">
        <v>29.114000000000001</v>
      </c>
    </row>
    <row r="49" spans="1:30"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52.686</v>
      </c>
      <c r="Y49">
        <v>7.9480000000000004</v>
      </c>
      <c r="Z49">
        <v>64.052000000000007</v>
      </c>
      <c r="AA49">
        <v>84.968999999999994</v>
      </c>
      <c r="AB49">
        <v>28.126999999999999</v>
      </c>
      <c r="AC49">
        <v>28.312000000000001</v>
      </c>
      <c r="AD49">
        <v>29.494</v>
      </c>
    </row>
    <row r="50" spans="1:30"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52.686</v>
      </c>
      <c r="Y50">
        <v>7.9560000000000004</v>
      </c>
      <c r="Z50">
        <v>77.405000000000001</v>
      </c>
      <c r="AA50">
        <v>84.501999999999995</v>
      </c>
      <c r="AB50">
        <v>28.126999999999999</v>
      </c>
      <c r="AC50">
        <v>28.312000000000001</v>
      </c>
      <c r="AD50">
        <v>29.114000000000001</v>
      </c>
    </row>
    <row r="51" spans="1:30"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52.686</v>
      </c>
      <c r="Y51">
        <v>7.9660000000000002</v>
      </c>
      <c r="Z51">
        <v>85.680999999999997</v>
      </c>
      <c r="AA51">
        <v>87.203000000000003</v>
      </c>
      <c r="AB51">
        <v>28.126999999999999</v>
      </c>
      <c r="AC51">
        <v>28.312000000000001</v>
      </c>
      <c r="AD51">
        <v>29.494</v>
      </c>
    </row>
    <row r="52" spans="1:30"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52.686</v>
      </c>
      <c r="Y52">
        <v>7.9710000000000001</v>
      </c>
      <c r="Z52">
        <v>72.564999999999998</v>
      </c>
      <c r="AA52">
        <v>77.935000000000002</v>
      </c>
      <c r="AB52">
        <v>28.126999999999999</v>
      </c>
      <c r="AC52">
        <v>28.312000000000001</v>
      </c>
      <c r="AD52">
        <v>29.114000000000001</v>
      </c>
    </row>
    <row r="53" spans="1:30"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52.686</v>
      </c>
      <c r="Y53">
        <v>7.98</v>
      </c>
      <c r="Z53">
        <v>57.356000000000002</v>
      </c>
      <c r="AA53">
        <v>69.608999999999995</v>
      </c>
      <c r="AB53">
        <v>28.126999999999999</v>
      </c>
      <c r="AC53">
        <v>28.312000000000001</v>
      </c>
      <c r="AD53">
        <v>29.494</v>
      </c>
    </row>
    <row r="54" spans="1:30"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52.686</v>
      </c>
      <c r="Y54">
        <v>7.9829999999999997</v>
      </c>
      <c r="Z54">
        <v>40.651000000000003</v>
      </c>
      <c r="AA54">
        <v>63.966000000000001</v>
      </c>
      <c r="AB54">
        <v>28.126999999999999</v>
      </c>
      <c r="AC54">
        <v>28.312000000000001</v>
      </c>
      <c r="AD54">
        <v>29.114000000000001</v>
      </c>
    </row>
    <row r="55" spans="1:30"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52.686</v>
      </c>
      <c r="Y55">
        <v>7.9909999999999997</v>
      </c>
      <c r="Z55">
        <v>35.256999999999998</v>
      </c>
      <c r="AA55">
        <v>59.819000000000003</v>
      </c>
      <c r="AB55">
        <v>28.126999999999999</v>
      </c>
      <c r="AC55">
        <v>28.312000000000001</v>
      </c>
      <c r="AD55">
        <v>29.494</v>
      </c>
    </row>
    <row r="56" spans="1:30"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52.686</v>
      </c>
      <c r="Y56">
        <v>7.9969999999999999</v>
      </c>
      <c r="Z56">
        <v>27.841000000000001</v>
      </c>
      <c r="AA56">
        <v>57.232999999999997</v>
      </c>
      <c r="AB56">
        <v>28.126999999999999</v>
      </c>
      <c r="AC56">
        <v>28.312000000000001</v>
      </c>
      <c r="AD56">
        <v>29.114000000000001</v>
      </c>
    </row>
    <row r="57" spans="1:30"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52.686</v>
      </c>
      <c r="Y57">
        <v>8</v>
      </c>
      <c r="Z57">
        <v>41.848999999999997</v>
      </c>
      <c r="AA57">
        <v>56.844000000000001</v>
      </c>
      <c r="AB57">
        <v>28.126999999999999</v>
      </c>
      <c r="AC57">
        <v>28.312000000000001</v>
      </c>
      <c r="AD57">
        <v>29.494</v>
      </c>
    </row>
    <row r="58" spans="1:30"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52.686</v>
      </c>
      <c r="Y58">
        <v>8.0060000000000002</v>
      </c>
      <c r="Z58">
        <v>46.271999999999998</v>
      </c>
      <c r="AA58">
        <v>58.738</v>
      </c>
      <c r="AB58">
        <v>28.126999999999999</v>
      </c>
      <c r="AC58">
        <v>28.312000000000001</v>
      </c>
      <c r="AD58">
        <v>29.114000000000001</v>
      </c>
    </row>
    <row r="59" spans="1:30"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52.686</v>
      </c>
      <c r="Y59">
        <v>8.0079999999999991</v>
      </c>
      <c r="Z59">
        <v>61.567999999999998</v>
      </c>
      <c r="AA59">
        <v>61.954999999999998</v>
      </c>
      <c r="AB59">
        <v>28.126999999999999</v>
      </c>
      <c r="AC59">
        <v>28.312000000000001</v>
      </c>
      <c r="AD59">
        <v>29.494</v>
      </c>
    </row>
    <row r="60" spans="1:30"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52.686</v>
      </c>
      <c r="Y60">
        <v>8.0139999999999993</v>
      </c>
      <c r="Z60">
        <v>74.546000000000006</v>
      </c>
      <c r="AA60">
        <v>66.828000000000003</v>
      </c>
      <c r="AB60">
        <v>28.126999999999999</v>
      </c>
      <c r="AC60">
        <v>28.312000000000001</v>
      </c>
      <c r="AD60">
        <v>29.114000000000001</v>
      </c>
    </row>
    <row r="61" spans="1:30"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52.686</v>
      </c>
      <c r="Y61">
        <v>8.016</v>
      </c>
      <c r="Z61">
        <v>81.308999999999997</v>
      </c>
      <c r="AA61">
        <v>73.355999999999995</v>
      </c>
      <c r="AB61">
        <v>28.126999999999999</v>
      </c>
      <c r="AC61">
        <v>28.312000000000001</v>
      </c>
      <c r="AD61">
        <v>29.494</v>
      </c>
    </row>
    <row r="62" spans="1:30"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52.686</v>
      </c>
      <c r="Y62">
        <v>8.0210000000000008</v>
      </c>
      <c r="Z62">
        <v>70.141000000000005</v>
      </c>
      <c r="AA62">
        <v>89.421999999999997</v>
      </c>
      <c r="AB62">
        <v>28.126999999999999</v>
      </c>
      <c r="AC62">
        <v>28.312000000000001</v>
      </c>
      <c r="AD62">
        <v>29.114000000000001</v>
      </c>
    </row>
    <row r="63" spans="1:30"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52.686</v>
      </c>
      <c r="Y63">
        <v>8.0220000000000002</v>
      </c>
      <c r="Z63">
        <v>57.128</v>
      </c>
      <c r="AA63">
        <v>85.992999999999995</v>
      </c>
      <c r="AB63">
        <v>28.126999999999999</v>
      </c>
      <c r="AC63">
        <v>28.312000000000001</v>
      </c>
      <c r="AD63">
        <v>29.494</v>
      </c>
    </row>
    <row r="64" spans="1:30"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52.686</v>
      </c>
      <c r="Y64">
        <v>8.0269999999999992</v>
      </c>
      <c r="Z64">
        <v>42.58</v>
      </c>
      <c r="AA64">
        <v>86.411000000000001</v>
      </c>
      <c r="AB64">
        <v>28.126999999999999</v>
      </c>
      <c r="AC64">
        <v>28.312000000000001</v>
      </c>
      <c r="AD64">
        <v>29.114000000000001</v>
      </c>
    </row>
    <row r="65" spans="1:30"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52.686</v>
      </c>
      <c r="Y65">
        <v>8.0280000000000005</v>
      </c>
      <c r="Z65">
        <v>38.438000000000002</v>
      </c>
      <c r="AA65">
        <v>87.05</v>
      </c>
      <c r="AB65">
        <v>28.126999999999999</v>
      </c>
      <c r="AC65">
        <v>28.312000000000001</v>
      </c>
      <c r="AD65">
        <v>29.494</v>
      </c>
    </row>
    <row r="66" spans="1:30"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52.686</v>
      </c>
      <c r="Y66">
        <v>8.0329999999999995</v>
      </c>
      <c r="Z66">
        <v>27.771999999999998</v>
      </c>
      <c r="AA66">
        <v>78.722999999999999</v>
      </c>
      <c r="AB66">
        <v>28.126999999999999</v>
      </c>
      <c r="AC66">
        <v>28.312000000000001</v>
      </c>
      <c r="AD66">
        <v>29.114000000000001</v>
      </c>
    </row>
    <row r="67" spans="1:30"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52.686</v>
      </c>
      <c r="Y67">
        <v>8.0340000000000007</v>
      </c>
      <c r="Z67">
        <v>40.746000000000002</v>
      </c>
      <c r="AA67">
        <v>71.391999999999996</v>
      </c>
      <c r="AB67">
        <v>28.126999999999999</v>
      </c>
      <c r="AC67">
        <v>28.312000000000001</v>
      </c>
      <c r="AD67">
        <v>29.494</v>
      </c>
    </row>
    <row r="68" spans="1:30"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52.686</v>
      </c>
      <c r="Y68">
        <v>8.0389999999999997</v>
      </c>
      <c r="Z68">
        <v>44.601999999999997</v>
      </c>
      <c r="AA68">
        <v>65.126999999999995</v>
      </c>
      <c r="AB68">
        <v>28.126999999999999</v>
      </c>
      <c r="AC68">
        <v>28.312000000000001</v>
      </c>
      <c r="AD68">
        <v>29.114000000000001</v>
      </c>
    </row>
    <row r="69" spans="1:30"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52.686</v>
      </c>
      <c r="Y69">
        <v>8.0389999999999997</v>
      </c>
      <c r="Z69">
        <v>59.585000000000001</v>
      </c>
      <c r="AA69">
        <v>60.226999999999997</v>
      </c>
      <c r="AB69">
        <v>28.126999999999999</v>
      </c>
      <c r="AC69">
        <v>28.312000000000001</v>
      </c>
      <c r="AD69">
        <v>29.494</v>
      </c>
    </row>
    <row r="70" spans="1:30"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52.686</v>
      </c>
      <c r="Y70">
        <v>8.0440000000000005</v>
      </c>
      <c r="Z70">
        <v>73.88</v>
      </c>
      <c r="AA70">
        <v>57.264000000000003</v>
      </c>
      <c r="AB70">
        <v>28.126999999999999</v>
      </c>
      <c r="AC70">
        <v>28.312000000000001</v>
      </c>
      <c r="AD70">
        <v>29.114000000000001</v>
      </c>
    </row>
    <row r="71" spans="1:30"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52.686</v>
      </c>
      <c r="Y71">
        <v>8.0440000000000005</v>
      </c>
      <c r="Z71">
        <v>81.915000000000006</v>
      </c>
      <c r="AA71">
        <v>56.5</v>
      </c>
      <c r="AB71">
        <v>28.126999999999999</v>
      </c>
      <c r="AC71">
        <v>28.312000000000001</v>
      </c>
      <c r="AD71">
        <v>29.494</v>
      </c>
    </row>
    <row r="72" spans="1:30"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52.686</v>
      </c>
      <c r="Y72">
        <v>8.048</v>
      </c>
      <c r="Z72">
        <v>76.992999999999995</v>
      </c>
      <c r="AA72">
        <v>58.043999999999997</v>
      </c>
      <c r="AB72">
        <v>28.126999999999999</v>
      </c>
      <c r="AC72">
        <v>28.312000000000001</v>
      </c>
      <c r="AD72">
        <v>29.114000000000001</v>
      </c>
    </row>
    <row r="73" spans="1:30"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52.686</v>
      </c>
      <c r="Y73">
        <v>8.0489999999999995</v>
      </c>
      <c r="Z73">
        <v>62.81</v>
      </c>
      <c r="AA73">
        <v>61.369</v>
      </c>
      <c r="AB73">
        <v>28.126999999999999</v>
      </c>
      <c r="AC73">
        <v>28.312000000000001</v>
      </c>
      <c r="AD73">
        <v>29.494</v>
      </c>
    </row>
    <row r="74" spans="1:30"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52.686</v>
      </c>
      <c r="Y74">
        <v>8.0530000000000008</v>
      </c>
      <c r="Z74">
        <v>46.113999999999997</v>
      </c>
      <c r="AA74">
        <v>66.37</v>
      </c>
      <c r="AB74">
        <v>28.126999999999999</v>
      </c>
      <c r="AC74">
        <v>28.312000000000001</v>
      </c>
      <c r="AD74">
        <v>29.114000000000001</v>
      </c>
    </row>
    <row r="75" spans="1:30"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52.686</v>
      </c>
      <c r="Y75">
        <v>8.0530000000000008</v>
      </c>
      <c r="Z75">
        <v>41.52</v>
      </c>
      <c r="AA75">
        <v>73.171000000000006</v>
      </c>
      <c r="AB75">
        <v>28.126999999999999</v>
      </c>
      <c r="AC75">
        <v>28.312000000000001</v>
      </c>
      <c r="AD75">
        <v>29.494</v>
      </c>
    </row>
    <row r="76" spans="1:30"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52.686</v>
      </c>
      <c r="Y76">
        <v>8.0570000000000004</v>
      </c>
      <c r="Z76">
        <v>27.568999999999999</v>
      </c>
      <c r="AA76">
        <v>89.409000000000006</v>
      </c>
      <c r="AB76">
        <v>28.126999999999999</v>
      </c>
      <c r="AC76">
        <v>28.312000000000001</v>
      </c>
      <c r="AD76">
        <v>29.114000000000001</v>
      </c>
    </row>
    <row r="77" spans="1:30"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52.686</v>
      </c>
      <c r="Y77">
        <v>8.0579999999999998</v>
      </c>
      <c r="Z77">
        <v>35.991</v>
      </c>
      <c r="AA77">
        <v>87.168999999999997</v>
      </c>
      <c r="AB77">
        <v>28.126999999999999</v>
      </c>
      <c r="AC77">
        <v>28.312000000000001</v>
      </c>
      <c r="AD77">
        <v>29.494</v>
      </c>
    </row>
    <row r="78" spans="1:30"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52.686</v>
      </c>
      <c r="Y78">
        <v>8.0609999999999999</v>
      </c>
      <c r="Z78">
        <v>41.338999999999999</v>
      </c>
      <c r="AA78">
        <v>91.257999999999996</v>
      </c>
      <c r="AB78">
        <v>28.126999999999999</v>
      </c>
      <c r="AC78">
        <v>28.312000000000001</v>
      </c>
      <c r="AD78">
        <v>29.114000000000001</v>
      </c>
    </row>
    <row r="79" spans="1:30"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52.686</v>
      </c>
      <c r="Y79">
        <v>8.0619999999999994</v>
      </c>
      <c r="Z79">
        <v>57.113999999999997</v>
      </c>
      <c r="AA79">
        <v>86.448999999999998</v>
      </c>
      <c r="AB79">
        <v>28.126999999999999</v>
      </c>
      <c r="AC79">
        <v>28.312000000000001</v>
      </c>
      <c r="AD79">
        <v>29.494</v>
      </c>
    </row>
    <row r="80" spans="1:30"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52.686</v>
      </c>
      <c r="Y80">
        <v>8.0649999999999995</v>
      </c>
      <c r="Z80">
        <v>71.013999999999996</v>
      </c>
      <c r="AA80">
        <v>89.700999999999993</v>
      </c>
      <c r="AB80">
        <v>28.126999999999999</v>
      </c>
      <c r="AC80">
        <v>28.312000000000001</v>
      </c>
      <c r="AD80">
        <v>29.114000000000001</v>
      </c>
    </row>
    <row r="81" spans="1:30"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52.686</v>
      </c>
      <c r="Y81">
        <v>8.0649999999999995</v>
      </c>
      <c r="Z81">
        <v>81.932000000000002</v>
      </c>
      <c r="AA81">
        <v>71.995999999999995</v>
      </c>
      <c r="AB81">
        <v>28.126999999999999</v>
      </c>
      <c r="AC81">
        <v>28.312000000000001</v>
      </c>
      <c r="AD81">
        <v>29.494</v>
      </c>
    </row>
    <row r="82" spans="1:30"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52.686</v>
      </c>
      <c r="Y82">
        <v>8.0690000000000008</v>
      </c>
      <c r="Z82">
        <v>73.727999999999994</v>
      </c>
      <c r="AA82">
        <v>66.057000000000002</v>
      </c>
      <c r="AB82">
        <v>28.126999999999999</v>
      </c>
      <c r="AC82">
        <v>28.312000000000001</v>
      </c>
      <c r="AD82">
        <v>29.114000000000001</v>
      </c>
    </row>
    <row r="83" spans="1:30"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52.686</v>
      </c>
      <c r="Y83">
        <v>8.0690000000000008</v>
      </c>
      <c r="Z83">
        <v>61.542000000000002</v>
      </c>
      <c r="AA83">
        <v>61.232999999999997</v>
      </c>
      <c r="AB83">
        <v>28.126999999999999</v>
      </c>
      <c r="AC83">
        <v>28.312000000000001</v>
      </c>
      <c r="AD83">
        <v>29.494</v>
      </c>
    </row>
    <row r="84" spans="1:30"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52.686</v>
      </c>
      <c r="Y84">
        <v>8.0719999999999992</v>
      </c>
      <c r="Z84">
        <v>47.082999999999998</v>
      </c>
      <c r="AA84">
        <v>58.218000000000004</v>
      </c>
      <c r="AB84">
        <v>28.126999999999999</v>
      </c>
      <c r="AC84">
        <v>28.312000000000001</v>
      </c>
      <c r="AD84">
        <v>29.114000000000001</v>
      </c>
    </row>
    <row r="85" spans="1:30"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52.686</v>
      </c>
      <c r="Y85">
        <v>8.0730000000000004</v>
      </c>
      <c r="Z85">
        <v>38.146999999999998</v>
      </c>
      <c r="AA85">
        <v>56.725999999999999</v>
      </c>
      <c r="AB85">
        <v>28.126999999999999</v>
      </c>
      <c r="AC85">
        <v>28.312000000000001</v>
      </c>
      <c r="AD85">
        <v>29.494</v>
      </c>
    </row>
    <row r="86" spans="1:30"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52.686</v>
      </c>
      <c r="Y86">
        <v>8.0760000000000005</v>
      </c>
      <c r="Z86">
        <v>27.623000000000001</v>
      </c>
      <c r="AA86">
        <v>57.692999999999998</v>
      </c>
      <c r="AB86">
        <v>28.126999999999999</v>
      </c>
      <c r="AC86">
        <v>28.312000000000001</v>
      </c>
      <c r="AD86">
        <v>29.114000000000001</v>
      </c>
    </row>
    <row r="87" spans="1:30"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52.686</v>
      </c>
      <c r="Y87">
        <v>8.0760000000000005</v>
      </c>
      <c r="Z87">
        <v>32.195999999999998</v>
      </c>
      <c r="AA87">
        <v>60.634</v>
      </c>
      <c r="AB87">
        <v>28.126999999999999</v>
      </c>
      <c r="AC87">
        <v>28.312000000000001</v>
      </c>
      <c r="AD87">
        <v>29.494</v>
      </c>
    </row>
    <row r="88" spans="1:30"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52.686</v>
      </c>
      <c r="Y88">
        <v>8.0790000000000006</v>
      </c>
      <c r="Z88">
        <v>39.308</v>
      </c>
      <c r="AA88">
        <v>64.841999999999999</v>
      </c>
      <c r="AB88">
        <v>28.126999999999999</v>
      </c>
      <c r="AC88">
        <v>28.312000000000001</v>
      </c>
      <c r="AD88">
        <v>29.114000000000001</v>
      </c>
    </row>
    <row r="89" spans="1:30"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52.686</v>
      </c>
      <c r="Y89">
        <v>8.0790000000000006</v>
      </c>
      <c r="Z89">
        <v>55.280999999999999</v>
      </c>
      <c r="AA89">
        <v>70.843999999999994</v>
      </c>
      <c r="AB89">
        <v>28.126999999999999</v>
      </c>
      <c r="AC89">
        <v>28.312000000000001</v>
      </c>
      <c r="AD89">
        <v>29.494</v>
      </c>
    </row>
    <row r="90" spans="1:30"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52.686</v>
      </c>
      <c r="Y90">
        <v>8.0820000000000007</v>
      </c>
      <c r="Z90">
        <v>69.596999999999994</v>
      </c>
      <c r="AA90">
        <v>78.992999999999995</v>
      </c>
      <c r="AB90">
        <v>28.126999999999999</v>
      </c>
      <c r="AC90">
        <v>28.312000000000001</v>
      </c>
      <c r="AD90">
        <v>29.114000000000001</v>
      </c>
    </row>
    <row r="91" spans="1:30"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52.686</v>
      </c>
      <c r="Y91">
        <v>8.0820000000000007</v>
      </c>
      <c r="Z91">
        <v>82.271000000000001</v>
      </c>
      <c r="AA91">
        <v>86.263000000000005</v>
      </c>
      <c r="AB91">
        <v>28.126999999999999</v>
      </c>
      <c r="AC91">
        <v>28.312000000000001</v>
      </c>
      <c r="AD91">
        <v>29.494</v>
      </c>
    </row>
    <row r="92" spans="1:30"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52.686</v>
      </c>
      <c r="Y92">
        <v>8.0850000000000009</v>
      </c>
      <c r="Z92">
        <v>81.126000000000005</v>
      </c>
      <c r="AA92">
        <v>87.006</v>
      </c>
      <c r="AB92">
        <v>28.126999999999999</v>
      </c>
      <c r="AC92">
        <v>28.312000000000001</v>
      </c>
      <c r="AD92">
        <v>29.114000000000001</v>
      </c>
    </row>
    <row r="93" spans="1:30"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52.686</v>
      </c>
      <c r="Y93">
        <v>8.0850000000000009</v>
      </c>
      <c r="Z93">
        <v>67.156999999999996</v>
      </c>
      <c r="AA93">
        <v>86.17</v>
      </c>
      <c r="AB93">
        <v>28.126999999999999</v>
      </c>
      <c r="AC93">
        <v>28.312000000000001</v>
      </c>
      <c r="AD93">
        <v>29.494</v>
      </c>
    </row>
    <row r="94" spans="1:30"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52.686</v>
      </c>
      <c r="Y94">
        <v>8.0879999999999992</v>
      </c>
      <c r="Z94">
        <v>50.98</v>
      </c>
      <c r="AA94">
        <v>90.206999999999994</v>
      </c>
      <c r="AB94">
        <v>28.126999999999999</v>
      </c>
      <c r="AC94">
        <v>28.312000000000001</v>
      </c>
      <c r="AD94">
        <v>29.114000000000001</v>
      </c>
    </row>
    <row r="95" spans="1:30"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52.686</v>
      </c>
      <c r="Y95">
        <v>8.0879999999999992</v>
      </c>
      <c r="Z95">
        <v>34.398000000000003</v>
      </c>
      <c r="AA95">
        <v>74.471000000000004</v>
      </c>
      <c r="AB95">
        <v>28.126999999999999</v>
      </c>
      <c r="AC95">
        <v>28.312000000000001</v>
      </c>
      <c r="AD95">
        <v>29.494</v>
      </c>
    </row>
    <row r="96" spans="1:30"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52.686</v>
      </c>
      <c r="Y96">
        <v>8.0879999999999992</v>
      </c>
      <c r="Z96">
        <v>27.777999999999999</v>
      </c>
      <c r="AA96">
        <v>67.367999999999995</v>
      </c>
      <c r="AB96">
        <v>28.126999999999999</v>
      </c>
      <c r="AC96">
        <v>28.312000000000001</v>
      </c>
      <c r="AD96">
        <v>29.114000000000001</v>
      </c>
    </row>
    <row r="97" spans="1:30"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52.686</v>
      </c>
      <c r="Y97">
        <v>8.0909999999999993</v>
      </c>
      <c r="Z97">
        <v>28.067</v>
      </c>
      <c r="AA97">
        <v>61.972000000000001</v>
      </c>
      <c r="AB97">
        <v>28.126999999999999</v>
      </c>
      <c r="AC97">
        <v>28.312000000000001</v>
      </c>
      <c r="AD97">
        <v>29.494</v>
      </c>
    </row>
    <row r="98" spans="1:30"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52.686</v>
      </c>
      <c r="Y98">
        <v>8.0909999999999993</v>
      </c>
      <c r="Z98">
        <v>36.472999999999999</v>
      </c>
      <c r="AA98">
        <v>58.530999999999999</v>
      </c>
      <c r="AB98">
        <v>28.126999999999999</v>
      </c>
      <c r="AC98">
        <v>28.312000000000001</v>
      </c>
      <c r="AD98">
        <v>29.114000000000001</v>
      </c>
    </row>
    <row r="99" spans="1:30"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52.686</v>
      </c>
      <c r="Y99">
        <v>8.0939999999999994</v>
      </c>
      <c r="Z99">
        <v>52.671999999999997</v>
      </c>
      <c r="AA99">
        <v>56.613</v>
      </c>
      <c r="AB99">
        <v>28.126999999999999</v>
      </c>
      <c r="AC99">
        <v>28.312000000000001</v>
      </c>
      <c r="AD99">
        <v>29.494</v>
      </c>
    </row>
    <row r="100" spans="1:30"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52.686</v>
      </c>
      <c r="Y100">
        <v>8.093</v>
      </c>
      <c r="Z100">
        <v>66.84</v>
      </c>
      <c r="AA100">
        <v>57.067</v>
      </c>
      <c r="AB100">
        <v>28.126999999999999</v>
      </c>
      <c r="AC100">
        <v>28.312000000000001</v>
      </c>
      <c r="AD100">
        <v>29.114000000000001</v>
      </c>
    </row>
    <row r="101" spans="1:30"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52.686</v>
      </c>
      <c r="Y101">
        <v>8.0960000000000001</v>
      </c>
      <c r="Z101">
        <v>79.355999999999995</v>
      </c>
      <c r="AA101">
        <v>59.631</v>
      </c>
      <c r="AB101">
        <v>28.126999999999999</v>
      </c>
      <c r="AC101">
        <v>28.312000000000001</v>
      </c>
      <c r="AD101">
        <v>29.494</v>
      </c>
    </row>
    <row r="102" spans="1:30"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52.686</v>
      </c>
      <c r="Y102">
        <v>8.0960000000000001</v>
      </c>
      <c r="Z102">
        <v>76.736999999999995</v>
      </c>
      <c r="AA102">
        <v>64.120999999999995</v>
      </c>
      <c r="AB102">
        <v>28.126999999999999</v>
      </c>
      <c r="AC102">
        <v>28.312000000000001</v>
      </c>
      <c r="AD102">
        <v>29.114000000000001</v>
      </c>
    </row>
    <row r="103" spans="1:30"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52.686</v>
      </c>
      <c r="Y103">
        <v>8.0960000000000001</v>
      </c>
      <c r="Z103">
        <v>64.941000000000003</v>
      </c>
      <c r="AA103">
        <v>70.346000000000004</v>
      </c>
      <c r="AB103">
        <v>28.126999999999999</v>
      </c>
      <c r="AC103">
        <v>28.312000000000001</v>
      </c>
      <c r="AD103">
        <v>29.494</v>
      </c>
    </row>
    <row r="104" spans="1:30"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52.686</v>
      </c>
      <c r="Y104">
        <v>8.0990000000000002</v>
      </c>
      <c r="Z104">
        <v>51.41</v>
      </c>
      <c r="AA104">
        <v>77.942999999999998</v>
      </c>
      <c r="AB104">
        <v>28.126999999999999</v>
      </c>
      <c r="AC104">
        <v>28.312000000000001</v>
      </c>
      <c r="AD104">
        <v>29.114000000000001</v>
      </c>
    </row>
    <row r="105" spans="1:30"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52.686</v>
      </c>
      <c r="Y105">
        <v>8.0980000000000008</v>
      </c>
      <c r="Z105">
        <v>35.887</v>
      </c>
      <c r="AA105">
        <v>87.671999999999997</v>
      </c>
      <c r="AB105">
        <v>28.126999999999999</v>
      </c>
      <c r="AC105">
        <v>28.312000000000001</v>
      </c>
      <c r="AD105">
        <v>29.494</v>
      </c>
    </row>
    <row r="106" spans="1:30"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52.686</v>
      </c>
      <c r="Y106">
        <v>8.1010000000000009</v>
      </c>
      <c r="Z106">
        <v>27.876999999999999</v>
      </c>
      <c r="AA106">
        <v>84.831999999999994</v>
      </c>
      <c r="AB106">
        <v>28.126999999999999</v>
      </c>
      <c r="AC106">
        <v>28.312000000000001</v>
      </c>
      <c r="AD106">
        <v>29.114000000000001</v>
      </c>
    </row>
    <row r="107" spans="1:30"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52.686</v>
      </c>
      <c r="Y107">
        <v>8.1010000000000009</v>
      </c>
      <c r="Z107">
        <v>27.795000000000002</v>
      </c>
      <c r="AA107">
        <v>85.13</v>
      </c>
      <c r="AB107">
        <v>28.126999999999999</v>
      </c>
      <c r="AC107">
        <v>28.312000000000001</v>
      </c>
      <c r="AD107">
        <v>29.494</v>
      </c>
    </row>
    <row r="108" spans="1:30"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52.686</v>
      </c>
      <c r="Y108">
        <v>8.1039999999999992</v>
      </c>
      <c r="Z108">
        <v>36.030999999999999</v>
      </c>
      <c r="AA108">
        <v>88.513000000000005</v>
      </c>
      <c r="AB108">
        <v>28.126999999999999</v>
      </c>
      <c r="AC108">
        <v>28.312000000000001</v>
      </c>
      <c r="AD108">
        <v>29.114000000000001</v>
      </c>
    </row>
    <row r="109" spans="1:30"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52.686</v>
      </c>
      <c r="Y109">
        <v>8.1029999999999998</v>
      </c>
      <c r="Z109">
        <v>50.798999999999999</v>
      </c>
      <c r="AA109">
        <v>75.888000000000005</v>
      </c>
      <c r="AB109">
        <v>28.126999999999999</v>
      </c>
      <c r="AC109">
        <v>28.312000000000001</v>
      </c>
      <c r="AD109">
        <v>29.494</v>
      </c>
    </row>
    <row r="110" spans="1:30"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52.686</v>
      </c>
      <c r="Y110">
        <v>8.1029999999999998</v>
      </c>
      <c r="Z110">
        <v>65.375</v>
      </c>
      <c r="AA110">
        <v>67.77</v>
      </c>
      <c r="AB110">
        <v>28.126999999999999</v>
      </c>
      <c r="AC110">
        <v>28.312000000000001</v>
      </c>
      <c r="AD110">
        <v>29.114000000000001</v>
      </c>
    </row>
    <row r="111" spans="1:30"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52.686</v>
      </c>
      <c r="Y111">
        <v>8.1059999999999999</v>
      </c>
      <c r="Z111">
        <v>79.028999999999996</v>
      </c>
      <c r="AA111">
        <v>62.488</v>
      </c>
      <c r="AB111">
        <v>28.126999999999999</v>
      </c>
      <c r="AC111">
        <v>28.312000000000001</v>
      </c>
      <c r="AD111">
        <v>29.494</v>
      </c>
    </row>
    <row r="112" spans="1:30"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52.686</v>
      </c>
      <c r="Y112">
        <v>8.1050000000000004</v>
      </c>
      <c r="Z112">
        <v>85.113</v>
      </c>
      <c r="AA112">
        <v>59.204000000000001</v>
      </c>
      <c r="AB112">
        <v>28.126999999999999</v>
      </c>
      <c r="AC112">
        <v>28.312000000000001</v>
      </c>
      <c r="AD112">
        <v>29.114000000000001</v>
      </c>
    </row>
    <row r="113" spans="1:30"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52.686</v>
      </c>
      <c r="Y113">
        <v>8.1080000000000005</v>
      </c>
      <c r="Z113">
        <v>71.453999999999994</v>
      </c>
      <c r="AA113">
        <v>56.866</v>
      </c>
      <c r="AB113">
        <v>28.126999999999999</v>
      </c>
      <c r="AC113">
        <v>28.312000000000001</v>
      </c>
      <c r="AD113">
        <v>29.494</v>
      </c>
    </row>
    <row r="114" spans="1:30"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52.686</v>
      </c>
      <c r="Y114">
        <v>8.1069999999999993</v>
      </c>
      <c r="Z114">
        <v>55.957000000000001</v>
      </c>
      <c r="AA114">
        <v>57.054000000000002</v>
      </c>
      <c r="AB114">
        <v>28.126999999999999</v>
      </c>
      <c r="AC114">
        <v>28.312000000000001</v>
      </c>
      <c r="AD114">
        <v>29.114000000000001</v>
      </c>
    </row>
    <row r="115" spans="1:30"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52.686</v>
      </c>
      <c r="Y115">
        <v>8.11</v>
      </c>
      <c r="Z115">
        <v>39.206000000000003</v>
      </c>
      <c r="AA115">
        <v>59.259</v>
      </c>
      <c r="AB115">
        <v>28.126999999999999</v>
      </c>
      <c r="AC115">
        <v>28.312000000000001</v>
      </c>
      <c r="AD115">
        <v>29.494</v>
      </c>
    </row>
    <row r="116" spans="1:30"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52.686</v>
      </c>
      <c r="Y116">
        <v>8.11</v>
      </c>
      <c r="Z116">
        <v>32.585000000000001</v>
      </c>
      <c r="AA116">
        <v>63.063000000000002</v>
      </c>
      <c r="AB116">
        <v>28.126999999999999</v>
      </c>
      <c r="AC116">
        <v>28.312000000000001</v>
      </c>
      <c r="AD116">
        <v>29.114000000000001</v>
      </c>
    </row>
    <row r="117" spans="1:30"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52.686</v>
      </c>
      <c r="Y117">
        <v>8.109</v>
      </c>
      <c r="Z117">
        <v>27.548999999999999</v>
      </c>
      <c r="AA117">
        <v>68.531999999999996</v>
      </c>
      <c r="AB117">
        <v>28.126999999999999</v>
      </c>
      <c r="AC117">
        <v>28.312000000000001</v>
      </c>
      <c r="AD117">
        <v>29.494</v>
      </c>
    </row>
    <row r="118" spans="1:30"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52.686</v>
      </c>
      <c r="Y118">
        <v>8.1120000000000001</v>
      </c>
      <c r="Z118">
        <v>31.861000000000001</v>
      </c>
      <c r="AA118">
        <v>76.525000000000006</v>
      </c>
      <c r="AB118">
        <v>28.126999999999999</v>
      </c>
      <c r="AC118">
        <v>28.312000000000001</v>
      </c>
      <c r="AD118">
        <v>29.114000000000001</v>
      </c>
    </row>
    <row r="119" spans="1:30"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52.686</v>
      </c>
      <c r="Y119">
        <v>8.1110000000000007</v>
      </c>
      <c r="Z119">
        <v>47.415999999999997</v>
      </c>
      <c r="AA119">
        <v>88.031000000000006</v>
      </c>
      <c r="AB119">
        <v>28.126999999999999</v>
      </c>
      <c r="AC119">
        <v>28.312000000000001</v>
      </c>
      <c r="AD119">
        <v>29.494</v>
      </c>
    </row>
    <row r="120" spans="1:30"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52.686</v>
      </c>
      <c r="Y120">
        <v>8.1140000000000008</v>
      </c>
      <c r="Z120">
        <v>62.749000000000002</v>
      </c>
      <c r="AA120">
        <v>84.289000000000001</v>
      </c>
      <c r="AB120">
        <v>28.126999999999999</v>
      </c>
      <c r="AC120">
        <v>28.312000000000001</v>
      </c>
      <c r="AD120">
        <v>29.114000000000001</v>
      </c>
    </row>
    <row r="121" spans="1:30"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52.686</v>
      </c>
      <c r="Y121">
        <v>8.1140000000000008</v>
      </c>
      <c r="Z121">
        <v>75.664000000000001</v>
      </c>
      <c r="AA121">
        <v>84.417000000000002</v>
      </c>
      <c r="AB121">
        <v>28.126999999999999</v>
      </c>
      <c r="AC121">
        <v>28.312000000000001</v>
      </c>
      <c r="AD121">
        <v>29.494</v>
      </c>
    </row>
    <row r="122" spans="1:30"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52.686</v>
      </c>
      <c r="Y122">
        <v>8.1120000000000001</v>
      </c>
      <c r="Z122">
        <v>80.435000000000002</v>
      </c>
      <c r="AA122">
        <v>88.162000000000006</v>
      </c>
      <c r="AB122">
        <v>28.126999999999999</v>
      </c>
      <c r="AC122">
        <v>28.312000000000001</v>
      </c>
      <c r="AD122">
        <v>29.114000000000001</v>
      </c>
    </row>
    <row r="123" spans="1:30"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52.686</v>
      </c>
      <c r="Y123">
        <v>8.1129999999999995</v>
      </c>
      <c r="Z123">
        <v>68.843999999999994</v>
      </c>
      <c r="AA123">
        <v>76.941000000000003</v>
      </c>
      <c r="AB123">
        <v>28.126999999999999</v>
      </c>
      <c r="AC123">
        <v>28.312000000000001</v>
      </c>
      <c r="AD123">
        <v>29.494</v>
      </c>
    </row>
    <row r="124" spans="1:30"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52.686</v>
      </c>
      <c r="Y124">
        <v>8.1140000000000008</v>
      </c>
      <c r="Z124">
        <v>55.941000000000003</v>
      </c>
      <c r="AA124">
        <v>69.372</v>
      </c>
      <c r="AB124">
        <v>28.126999999999999</v>
      </c>
      <c r="AC124">
        <v>28.312000000000001</v>
      </c>
      <c r="AD124">
        <v>29.114000000000001</v>
      </c>
    </row>
    <row r="125" spans="1:30"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52.686</v>
      </c>
      <c r="Y125">
        <v>8.1150000000000002</v>
      </c>
      <c r="Z125">
        <v>41.088999999999999</v>
      </c>
      <c r="AA125">
        <v>63.588999999999999</v>
      </c>
      <c r="AB125">
        <v>28.126999999999999</v>
      </c>
      <c r="AC125">
        <v>28.312000000000001</v>
      </c>
      <c r="AD125">
        <v>29.494</v>
      </c>
    </row>
    <row r="126" spans="1:30"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52.686</v>
      </c>
      <c r="Y126">
        <v>8.1150000000000002</v>
      </c>
      <c r="Z126">
        <v>36.517000000000003</v>
      </c>
      <c r="AA126">
        <v>59.295999999999999</v>
      </c>
      <c r="AB126">
        <v>28.126999999999999</v>
      </c>
      <c r="AC126">
        <v>28.312000000000001</v>
      </c>
      <c r="AD126">
        <v>29.114000000000001</v>
      </c>
    </row>
    <row r="127" spans="1:30"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52.686</v>
      </c>
      <c r="Y127">
        <v>8.1129999999999995</v>
      </c>
      <c r="Z127">
        <v>27.74</v>
      </c>
      <c r="AA127">
        <v>56.738999999999997</v>
      </c>
      <c r="AB127">
        <v>28.126999999999999</v>
      </c>
      <c r="AC127">
        <v>28.312000000000001</v>
      </c>
      <c r="AD127">
        <v>29.494</v>
      </c>
    </row>
    <row r="128" spans="1:30"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52.686</v>
      </c>
      <c r="Y128">
        <v>8.1140000000000008</v>
      </c>
      <c r="Z128">
        <v>35.811999999999998</v>
      </c>
      <c r="AA128">
        <v>56.646000000000001</v>
      </c>
      <c r="AB128">
        <v>28.126999999999999</v>
      </c>
      <c r="AC128">
        <v>28.312000000000001</v>
      </c>
      <c r="AD128">
        <v>29.114000000000001</v>
      </c>
    </row>
    <row r="129" spans="1:30"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52.686</v>
      </c>
      <c r="Y129">
        <v>8.1150000000000002</v>
      </c>
      <c r="Z129">
        <v>45.945999999999998</v>
      </c>
      <c r="AA129">
        <v>58.838999999999999</v>
      </c>
      <c r="AB129">
        <v>28.126999999999999</v>
      </c>
      <c r="AC129">
        <v>28.312000000000001</v>
      </c>
      <c r="AD129">
        <v>29.494</v>
      </c>
    </row>
    <row r="130" spans="1:30"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52.686</v>
      </c>
      <c r="Y130">
        <v>8.1159999999999997</v>
      </c>
      <c r="Z130">
        <v>60.755000000000003</v>
      </c>
      <c r="AA130">
        <v>62.585000000000001</v>
      </c>
      <c r="AB130">
        <v>28.126999999999999</v>
      </c>
      <c r="AC130">
        <v>28.312000000000001</v>
      </c>
      <c r="AD130">
        <v>29.114000000000001</v>
      </c>
    </row>
    <row r="131" spans="1:30"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52.686</v>
      </c>
      <c r="Y131">
        <v>8.1159999999999997</v>
      </c>
      <c r="Z131">
        <v>75.100999999999999</v>
      </c>
      <c r="AA131">
        <v>68.126000000000005</v>
      </c>
      <c r="AB131">
        <v>28.126999999999999</v>
      </c>
      <c r="AC131">
        <v>28.312000000000001</v>
      </c>
      <c r="AD131">
        <v>29.494</v>
      </c>
    </row>
    <row r="132" spans="1:30"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52.686</v>
      </c>
      <c r="Y132">
        <v>8.1140000000000008</v>
      </c>
      <c r="Z132">
        <v>79.623999999999995</v>
      </c>
      <c r="AA132">
        <v>75.391999999999996</v>
      </c>
      <c r="AB132">
        <v>28.126999999999999</v>
      </c>
      <c r="AC132">
        <v>28.312000000000001</v>
      </c>
      <c r="AD132">
        <v>29.114000000000001</v>
      </c>
    </row>
    <row r="133" spans="1:30"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52.686</v>
      </c>
      <c r="Y133">
        <v>8.1150000000000002</v>
      </c>
      <c r="Z133">
        <v>75.019000000000005</v>
      </c>
      <c r="AA133">
        <v>89.265000000000001</v>
      </c>
      <c r="AB133">
        <v>28.126999999999999</v>
      </c>
      <c r="AC133">
        <v>28.312000000000001</v>
      </c>
      <c r="AD133">
        <v>29.494</v>
      </c>
    </row>
    <row r="134" spans="1:30"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52.686</v>
      </c>
      <c r="Y134">
        <v>8.1159999999999997</v>
      </c>
      <c r="Z134">
        <v>60.404000000000003</v>
      </c>
      <c r="AA134">
        <v>86.028000000000006</v>
      </c>
      <c r="AB134">
        <v>28.126999999999999</v>
      </c>
      <c r="AC134">
        <v>28.312000000000001</v>
      </c>
      <c r="AD134">
        <v>29.114000000000001</v>
      </c>
    </row>
    <row r="135" spans="1:30"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52.686</v>
      </c>
      <c r="Y135">
        <v>8.1159999999999997</v>
      </c>
      <c r="Z135">
        <v>44.19</v>
      </c>
      <c r="AA135">
        <v>85.686000000000007</v>
      </c>
      <c r="AB135">
        <v>28.126999999999999</v>
      </c>
      <c r="AC135">
        <v>28.312000000000001</v>
      </c>
      <c r="AD135">
        <v>29.494</v>
      </c>
    </row>
    <row r="136" spans="1:30"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52.686</v>
      </c>
      <c r="Y136">
        <v>8.1170000000000009</v>
      </c>
      <c r="Z136">
        <v>39.951000000000001</v>
      </c>
      <c r="AA136">
        <v>86.76</v>
      </c>
      <c r="AB136">
        <v>28.126999999999999</v>
      </c>
      <c r="AC136">
        <v>28.312000000000001</v>
      </c>
      <c r="AD136">
        <v>29.114000000000001</v>
      </c>
    </row>
    <row r="137" spans="1:30"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52.686</v>
      </c>
      <c r="Y137">
        <v>8.1150000000000002</v>
      </c>
      <c r="Z137">
        <v>27.463999999999999</v>
      </c>
      <c r="AA137">
        <v>78.454999999999998</v>
      </c>
      <c r="AB137">
        <v>28.126999999999999</v>
      </c>
      <c r="AC137">
        <v>28.312000000000001</v>
      </c>
      <c r="AD137">
        <v>29.494</v>
      </c>
    </row>
    <row r="138" spans="1:30"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52.686</v>
      </c>
      <c r="Y138">
        <v>8.1159999999999997</v>
      </c>
      <c r="Z138">
        <v>38.284999999999997</v>
      </c>
      <c r="AA138">
        <v>70.025000000000006</v>
      </c>
      <c r="AB138">
        <v>28.126999999999999</v>
      </c>
      <c r="AC138">
        <v>28.312000000000001</v>
      </c>
      <c r="AD138">
        <v>29.114000000000001</v>
      </c>
    </row>
    <row r="139" spans="1:30"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52.686</v>
      </c>
      <c r="Y139">
        <v>8.1170000000000009</v>
      </c>
      <c r="Z139">
        <v>43.061999999999998</v>
      </c>
      <c r="AA139">
        <v>64.426000000000002</v>
      </c>
      <c r="AB139">
        <v>28.126999999999999</v>
      </c>
      <c r="AC139">
        <v>28.312000000000001</v>
      </c>
      <c r="AD139">
        <v>29.494</v>
      </c>
    </row>
    <row r="140" spans="1:30"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52.686</v>
      </c>
      <c r="Y140">
        <v>8.1170000000000009</v>
      </c>
      <c r="Z140">
        <v>58.49</v>
      </c>
      <c r="AA140">
        <v>60.070999999999998</v>
      </c>
      <c r="AB140">
        <v>28.126999999999999</v>
      </c>
      <c r="AC140">
        <v>28.312000000000001</v>
      </c>
      <c r="AD140">
        <v>29.114000000000001</v>
      </c>
    </row>
    <row r="141" spans="1:30"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52.686</v>
      </c>
      <c r="Y141">
        <v>8.1180000000000003</v>
      </c>
      <c r="Z141">
        <v>72.191999999999993</v>
      </c>
      <c r="AA141">
        <v>57.46</v>
      </c>
      <c r="AB141">
        <v>28.126999999999999</v>
      </c>
      <c r="AC141">
        <v>28.312000000000001</v>
      </c>
      <c r="AD141">
        <v>29.494</v>
      </c>
    </row>
    <row r="142" spans="1:30"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52.686</v>
      </c>
      <c r="Y142">
        <v>8.1159999999999997</v>
      </c>
      <c r="Z142">
        <v>81.894999999999996</v>
      </c>
      <c r="AA142">
        <v>56.851999999999997</v>
      </c>
      <c r="AB142">
        <v>28.126999999999999</v>
      </c>
      <c r="AC142">
        <v>28.312000000000001</v>
      </c>
      <c r="AD142">
        <v>29.114000000000001</v>
      </c>
    </row>
    <row r="143" spans="1:30"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52.686</v>
      </c>
      <c r="Y143">
        <v>8.1170000000000009</v>
      </c>
      <c r="Z143">
        <v>72.531999999999996</v>
      </c>
      <c r="AA143">
        <v>58.584000000000003</v>
      </c>
      <c r="AB143">
        <v>28.126999999999999</v>
      </c>
      <c r="AC143">
        <v>28.312000000000001</v>
      </c>
      <c r="AD143">
        <v>29.494</v>
      </c>
    </row>
    <row r="144" spans="1:30"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52.686</v>
      </c>
      <c r="Y144">
        <v>8.1180000000000003</v>
      </c>
      <c r="Z144">
        <v>59.738</v>
      </c>
      <c r="AA144">
        <v>61.741999999999997</v>
      </c>
      <c r="AB144">
        <v>28.126999999999999</v>
      </c>
      <c r="AC144">
        <v>28.312000000000001</v>
      </c>
      <c r="AD144">
        <v>29.114000000000001</v>
      </c>
    </row>
    <row r="145" spans="1:30"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52.686</v>
      </c>
      <c r="Y145">
        <v>8.1180000000000003</v>
      </c>
      <c r="Z145">
        <v>45.847999999999999</v>
      </c>
      <c r="AA145">
        <v>66.733000000000004</v>
      </c>
      <c r="AB145">
        <v>28.126999999999999</v>
      </c>
      <c r="AC145">
        <v>28.312000000000001</v>
      </c>
      <c r="AD145">
        <v>29.494</v>
      </c>
    </row>
    <row r="146" spans="1:30"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52.686</v>
      </c>
      <c r="Y146">
        <v>8.1189999999999998</v>
      </c>
      <c r="Z146">
        <v>36.238999999999997</v>
      </c>
      <c r="AA146">
        <v>72.897999999999996</v>
      </c>
      <c r="AB146">
        <v>28.126999999999999</v>
      </c>
      <c r="AC146">
        <v>28.312000000000001</v>
      </c>
      <c r="AD146">
        <v>29.114000000000001</v>
      </c>
    </row>
    <row r="147" spans="1:30"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52.686</v>
      </c>
      <c r="Y147">
        <v>8.1170000000000009</v>
      </c>
      <c r="Z147">
        <v>27.597000000000001</v>
      </c>
      <c r="AA147">
        <v>89.363</v>
      </c>
      <c r="AB147">
        <v>28.126999999999999</v>
      </c>
      <c r="AC147">
        <v>28.312000000000001</v>
      </c>
      <c r="AD147">
        <v>29.494</v>
      </c>
    </row>
    <row r="148" spans="1:30"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52.686</v>
      </c>
      <c r="Y148">
        <v>8.3490000000000002</v>
      </c>
      <c r="Z148">
        <v>35.189</v>
      </c>
      <c r="AA148">
        <v>85.887</v>
      </c>
      <c r="AB148">
        <v>28.126999999999999</v>
      </c>
      <c r="AC148">
        <v>28.312000000000001</v>
      </c>
      <c r="AD148">
        <v>29.114000000000001</v>
      </c>
    </row>
    <row r="149" spans="1:30"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52.686</v>
      </c>
      <c r="Y149">
        <v>8.423</v>
      </c>
      <c r="Z149">
        <v>41.284999999999997</v>
      </c>
      <c r="AA149">
        <v>88.17</v>
      </c>
      <c r="AB149">
        <v>28.126999999999999</v>
      </c>
      <c r="AC149">
        <v>28.312000000000001</v>
      </c>
      <c r="AD149">
        <v>29.494</v>
      </c>
    </row>
    <row r="150" spans="1:30"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52.686</v>
      </c>
      <c r="Y150">
        <v>8.3409999999999993</v>
      </c>
      <c r="Z150">
        <v>56.52</v>
      </c>
      <c r="AA150">
        <v>87.081999999999994</v>
      </c>
      <c r="AB150">
        <v>28.126999999999999</v>
      </c>
      <c r="AC150">
        <v>28.312000000000001</v>
      </c>
      <c r="AD150">
        <v>29.114000000000001</v>
      </c>
    </row>
    <row r="151" spans="1:30"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52.686</v>
      </c>
      <c r="Y151">
        <v>8.42</v>
      </c>
      <c r="Z151">
        <v>70.954999999999998</v>
      </c>
      <c r="AA151">
        <v>80.111000000000004</v>
      </c>
      <c r="AB151">
        <v>28.126999999999999</v>
      </c>
      <c r="AC151">
        <v>28.312000000000001</v>
      </c>
      <c r="AD151">
        <v>29.494</v>
      </c>
    </row>
    <row r="152" spans="1:30"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52.686</v>
      </c>
      <c r="Y152">
        <v>8.3390000000000004</v>
      </c>
      <c r="Z152">
        <v>83.066000000000003</v>
      </c>
      <c r="AA152">
        <v>72.272999999999996</v>
      </c>
      <c r="AB152">
        <v>28.126999999999999</v>
      </c>
      <c r="AC152">
        <v>28.312000000000001</v>
      </c>
      <c r="AD152">
        <v>29.114000000000001</v>
      </c>
    </row>
    <row r="153" spans="1:30"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52.686</v>
      </c>
      <c r="Y153">
        <v>8.42</v>
      </c>
      <c r="Z153">
        <v>79.421000000000006</v>
      </c>
      <c r="AA153">
        <v>65.789000000000001</v>
      </c>
      <c r="AB153">
        <v>28.126999999999999</v>
      </c>
      <c r="AC153">
        <v>28.312000000000001</v>
      </c>
      <c r="AD153">
        <v>29.494</v>
      </c>
    </row>
    <row r="154" spans="1:30"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52.686</v>
      </c>
      <c r="Y154">
        <v>8.3390000000000004</v>
      </c>
      <c r="Z154">
        <v>65.491</v>
      </c>
      <c r="AA154">
        <v>60.622</v>
      </c>
      <c r="AB154">
        <v>28.126999999999999</v>
      </c>
      <c r="AC154">
        <v>28.312000000000001</v>
      </c>
      <c r="AD154">
        <v>29.114000000000001</v>
      </c>
    </row>
    <row r="155" spans="1:30"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52.686</v>
      </c>
      <c r="Y155">
        <v>8.4169999999999998</v>
      </c>
      <c r="Z155">
        <v>49.051000000000002</v>
      </c>
      <c r="AA155">
        <v>57.389000000000003</v>
      </c>
      <c r="AB155">
        <v>28.126999999999999</v>
      </c>
      <c r="AC155">
        <v>28.312000000000001</v>
      </c>
      <c r="AD155">
        <v>29.494</v>
      </c>
    </row>
    <row r="156" spans="1:30"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52.686</v>
      </c>
      <c r="Y156">
        <v>8.3360000000000003</v>
      </c>
      <c r="Z156">
        <v>32.634</v>
      </c>
      <c r="AA156">
        <v>56.383000000000003</v>
      </c>
      <c r="AB156">
        <v>28.126999999999999</v>
      </c>
      <c r="AC156">
        <v>28.312000000000001</v>
      </c>
      <c r="AD156">
        <v>29.114000000000001</v>
      </c>
    </row>
    <row r="157" spans="1:30"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52.686</v>
      </c>
      <c r="Y157">
        <v>8.4130000000000003</v>
      </c>
      <c r="Z157">
        <v>27.574999999999999</v>
      </c>
      <c r="AA157">
        <v>57.837000000000003</v>
      </c>
      <c r="AB157">
        <v>28.126999999999999</v>
      </c>
      <c r="AC157">
        <v>28.312000000000001</v>
      </c>
      <c r="AD157">
        <v>29.494</v>
      </c>
    </row>
    <row r="158" spans="1:30"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52.686</v>
      </c>
      <c r="Y158">
        <v>8.3360000000000003</v>
      </c>
      <c r="Z158">
        <v>31.048999999999999</v>
      </c>
      <c r="AA158">
        <v>60.969000000000001</v>
      </c>
      <c r="AB158">
        <v>28.126999999999999</v>
      </c>
      <c r="AC158">
        <v>28.312000000000001</v>
      </c>
      <c r="AD158">
        <v>29.114000000000001</v>
      </c>
    </row>
    <row r="159" spans="1:30"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52.686</v>
      </c>
      <c r="Y159">
        <v>8.41</v>
      </c>
      <c r="Z159">
        <v>38.212000000000003</v>
      </c>
      <c r="AA159">
        <v>65.876999999999995</v>
      </c>
      <c r="AB159">
        <v>28.126999999999999</v>
      </c>
      <c r="AC159">
        <v>28.312000000000001</v>
      </c>
      <c r="AD159">
        <v>29.494</v>
      </c>
    </row>
    <row r="160" spans="1:30"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52.686</v>
      </c>
      <c r="Y160">
        <v>8.3330000000000002</v>
      </c>
      <c r="Z160">
        <v>54.148000000000003</v>
      </c>
      <c r="AA160">
        <v>72.561999999999998</v>
      </c>
      <c r="AB160">
        <v>28.126999999999999</v>
      </c>
      <c r="AC160">
        <v>28.312000000000001</v>
      </c>
      <c r="AD160">
        <v>29.114000000000001</v>
      </c>
    </row>
    <row r="161" spans="1:30"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52.686</v>
      </c>
      <c r="Y161">
        <v>8.4090000000000007</v>
      </c>
      <c r="Z161">
        <v>68.381</v>
      </c>
      <c r="AA161">
        <v>83.093999999999994</v>
      </c>
      <c r="AB161">
        <v>28.126999999999999</v>
      </c>
      <c r="AC161">
        <v>28.312000000000001</v>
      </c>
      <c r="AD161">
        <v>29.494</v>
      </c>
    </row>
    <row r="162" spans="1:30"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52.686</v>
      </c>
      <c r="Y162">
        <v>8.3330000000000002</v>
      </c>
      <c r="Z162">
        <v>80.911000000000001</v>
      </c>
      <c r="AA162">
        <v>87.088999999999999</v>
      </c>
      <c r="AB162">
        <v>28.126999999999999</v>
      </c>
      <c r="AC162">
        <v>28.312000000000001</v>
      </c>
      <c r="AD162">
        <v>29.114000000000001</v>
      </c>
    </row>
    <row r="163" spans="1:30"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52.686</v>
      </c>
      <c r="Y163">
        <v>8.4049999999999994</v>
      </c>
      <c r="Z163">
        <v>75.849000000000004</v>
      </c>
      <c r="AA163">
        <v>89.411000000000001</v>
      </c>
      <c r="AB163">
        <v>28.126999999999999</v>
      </c>
      <c r="AC163">
        <v>28.312000000000001</v>
      </c>
      <c r="AD163">
        <v>29.494</v>
      </c>
    </row>
    <row r="164" spans="1:30"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52.686</v>
      </c>
      <c r="Y164">
        <v>8.33</v>
      </c>
      <c r="Z164">
        <v>63.527000000000001</v>
      </c>
      <c r="AA164">
        <v>86.41</v>
      </c>
      <c r="AB164">
        <v>28.126999999999999</v>
      </c>
      <c r="AC164">
        <v>28.312000000000001</v>
      </c>
      <c r="AD164">
        <v>29.114000000000001</v>
      </c>
    </row>
    <row r="165" spans="1:30"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52.686</v>
      </c>
      <c r="Y165">
        <v>8.4019999999999992</v>
      </c>
      <c r="Z165">
        <v>50.323999999999998</v>
      </c>
      <c r="AA165">
        <v>89.355999999999995</v>
      </c>
      <c r="AB165">
        <v>28.126999999999999</v>
      </c>
      <c r="AC165">
        <v>28.312000000000001</v>
      </c>
      <c r="AD165">
        <v>29.494</v>
      </c>
    </row>
    <row r="166" spans="1:30"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52.686</v>
      </c>
      <c r="Y166">
        <v>8.3290000000000006</v>
      </c>
      <c r="Z166">
        <v>36.737000000000002</v>
      </c>
      <c r="AA166">
        <v>72.525999999999996</v>
      </c>
      <c r="AB166">
        <v>28.126999999999999</v>
      </c>
      <c r="AC166">
        <v>28.312000000000001</v>
      </c>
      <c r="AD166">
        <v>29.114000000000001</v>
      </c>
    </row>
    <row r="167" spans="1:30"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52.686</v>
      </c>
      <c r="Y167">
        <v>8.4</v>
      </c>
      <c r="Z167">
        <v>27.678000000000001</v>
      </c>
      <c r="AA167">
        <v>66.290999999999997</v>
      </c>
      <c r="AB167">
        <v>28.126999999999999</v>
      </c>
      <c r="AC167">
        <v>28.312000000000001</v>
      </c>
      <c r="AD167">
        <v>29.494</v>
      </c>
    </row>
    <row r="168" spans="1:30"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52.686</v>
      </c>
      <c r="Y168">
        <v>8.3279999999999994</v>
      </c>
      <c r="Z168">
        <v>27.826000000000001</v>
      </c>
      <c r="AA168">
        <v>61.328000000000003</v>
      </c>
      <c r="AB168">
        <v>28.126999999999999</v>
      </c>
      <c r="AC168">
        <v>28.312000000000001</v>
      </c>
      <c r="AD168">
        <v>29.114000000000001</v>
      </c>
    </row>
    <row r="169" spans="1:30"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52.686</v>
      </c>
      <c r="Y169">
        <v>8.3960000000000008</v>
      </c>
      <c r="Z169">
        <v>36.198999999999998</v>
      </c>
      <c r="AA169">
        <v>58.353999999999999</v>
      </c>
      <c r="AB169">
        <v>28.126999999999999</v>
      </c>
      <c r="AC169">
        <v>28.312000000000001</v>
      </c>
      <c r="AD169">
        <v>29.494</v>
      </c>
    </row>
    <row r="170" spans="1:30"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52.686</v>
      </c>
      <c r="Y170">
        <v>8.327</v>
      </c>
      <c r="Z170">
        <v>51.822000000000003</v>
      </c>
      <c r="AA170">
        <v>56.79</v>
      </c>
      <c r="AB170">
        <v>28.126999999999999</v>
      </c>
      <c r="AC170">
        <v>28.312000000000001</v>
      </c>
      <c r="AD170">
        <v>29.114000000000001</v>
      </c>
    </row>
    <row r="171" spans="1:30"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52.686</v>
      </c>
      <c r="Y171">
        <v>8.3949999999999996</v>
      </c>
      <c r="Z171">
        <v>66.948999999999998</v>
      </c>
      <c r="AA171">
        <v>57.723999999999997</v>
      </c>
      <c r="AB171">
        <v>28.126999999999999</v>
      </c>
      <c r="AC171">
        <v>28.312000000000001</v>
      </c>
      <c r="AD171">
        <v>29.494</v>
      </c>
    </row>
    <row r="172" spans="1:30"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52.686</v>
      </c>
      <c r="Y172">
        <v>8.3230000000000004</v>
      </c>
      <c r="Z172">
        <v>79.998000000000005</v>
      </c>
      <c r="AA172">
        <v>60.338999999999999</v>
      </c>
      <c r="AB172">
        <v>28.126999999999999</v>
      </c>
      <c r="AC172">
        <v>28.312000000000001</v>
      </c>
      <c r="AD172">
        <v>29.114000000000001</v>
      </c>
    </row>
    <row r="173" spans="1:30"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52.686</v>
      </c>
      <c r="Y173">
        <v>8.39</v>
      </c>
      <c r="Z173">
        <v>83.944000000000003</v>
      </c>
      <c r="AA173">
        <v>64.647999999999996</v>
      </c>
      <c r="AB173">
        <v>28.126999999999999</v>
      </c>
      <c r="AC173">
        <v>28.312000000000001</v>
      </c>
      <c r="AD173">
        <v>29.494</v>
      </c>
    </row>
    <row r="174" spans="1:30"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52.686</v>
      </c>
      <c r="Y174">
        <v>8.3219999999999992</v>
      </c>
      <c r="Z174">
        <v>70.063000000000002</v>
      </c>
      <c r="AA174">
        <v>70.364999999999995</v>
      </c>
      <c r="AB174">
        <v>28.126999999999999</v>
      </c>
      <c r="AC174">
        <v>28.312000000000001</v>
      </c>
      <c r="AD174">
        <v>29.114000000000001</v>
      </c>
    </row>
    <row r="175" spans="1:30"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52.686</v>
      </c>
      <c r="Y175">
        <v>8.3879999999999999</v>
      </c>
      <c r="Z175">
        <v>54.615000000000002</v>
      </c>
      <c r="AA175">
        <v>78.233999999999995</v>
      </c>
      <c r="AB175">
        <v>28.126999999999999</v>
      </c>
      <c r="AC175">
        <v>28.312000000000001</v>
      </c>
      <c r="AD175">
        <v>29.494</v>
      </c>
    </row>
    <row r="176" spans="1:30"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52.686</v>
      </c>
      <c r="Y176">
        <v>8.32</v>
      </c>
      <c r="Z176">
        <v>37.582999999999998</v>
      </c>
      <c r="AA176">
        <v>86.369</v>
      </c>
      <c r="AB176">
        <v>28.126999999999999</v>
      </c>
      <c r="AC176">
        <v>28.312000000000001</v>
      </c>
      <c r="AD176">
        <v>29.114000000000001</v>
      </c>
    </row>
    <row r="177" spans="1:30"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52.686</v>
      </c>
      <c r="Y177">
        <v>8.3829999999999991</v>
      </c>
      <c r="Z177">
        <v>29.856999999999999</v>
      </c>
      <c r="AA177">
        <v>85.614999999999995</v>
      </c>
      <c r="AB177">
        <v>28.126999999999999</v>
      </c>
      <c r="AC177">
        <v>28.312000000000001</v>
      </c>
      <c r="AD177">
        <v>29.494</v>
      </c>
    </row>
    <row r="178" spans="1:30"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52.686</v>
      </c>
      <c r="Y178">
        <v>8.3179999999999996</v>
      </c>
      <c r="Z178">
        <v>29.056000000000001</v>
      </c>
      <c r="AA178">
        <v>85.837000000000003</v>
      </c>
      <c r="AB178">
        <v>28.126999999999999</v>
      </c>
      <c r="AC178">
        <v>28.312000000000001</v>
      </c>
      <c r="AD178">
        <v>29.114000000000001</v>
      </c>
    </row>
    <row r="179" spans="1:30"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52.686</v>
      </c>
      <c r="Y179">
        <v>8.3810000000000002</v>
      </c>
      <c r="Z179">
        <v>33.06</v>
      </c>
      <c r="AA179">
        <v>89.36</v>
      </c>
      <c r="AB179">
        <v>28.126999999999999</v>
      </c>
      <c r="AC179">
        <v>28.312000000000001</v>
      </c>
      <c r="AD179">
        <v>29.494</v>
      </c>
    </row>
    <row r="180" spans="1:30"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52.686</v>
      </c>
      <c r="Y180">
        <v>8.3160000000000007</v>
      </c>
      <c r="Z180">
        <v>49.079000000000001</v>
      </c>
      <c r="AA180">
        <v>74.957999999999998</v>
      </c>
      <c r="AB180">
        <v>28.126999999999999</v>
      </c>
      <c r="AC180">
        <v>28.312000000000001</v>
      </c>
      <c r="AD180">
        <v>29.114000000000001</v>
      </c>
    </row>
    <row r="181" spans="1:30"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52.686</v>
      </c>
      <c r="Y181">
        <v>8.3789999999999996</v>
      </c>
      <c r="Z181">
        <v>63.988</v>
      </c>
      <c r="AA181">
        <v>67.713999999999999</v>
      </c>
      <c r="AB181">
        <v>28.126999999999999</v>
      </c>
      <c r="AC181">
        <v>28.312000000000001</v>
      </c>
      <c r="AD181">
        <v>29.494</v>
      </c>
    </row>
    <row r="182" spans="1:30"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52.686</v>
      </c>
      <c r="Y182">
        <v>8.3109999999999999</v>
      </c>
      <c r="Z182">
        <v>76.89</v>
      </c>
      <c r="AA182">
        <v>62.098999999999997</v>
      </c>
      <c r="AB182">
        <v>28.126999999999999</v>
      </c>
      <c r="AC182">
        <v>28.312000000000001</v>
      </c>
      <c r="AD182">
        <v>29.114000000000001</v>
      </c>
    </row>
    <row r="183" spans="1:30"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52.686</v>
      </c>
      <c r="Y183">
        <v>8.3729999999999993</v>
      </c>
      <c r="Z183">
        <v>78.736999999999995</v>
      </c>
      <c r="AA183">
        <v>58.408999999999999</v>
      </c>
      <c r="AB183">
        <v>28.126999999999999</v>
      </c>
      <c r="AC183">
        <v>28.312000000000001</v>
      </c>
      <c r="AD183">
        <v>29.494</v>
      </c>
    </row>
    <row r="184" spans="1:30"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52.686</v>
      </c>
      <c r="Y184">
        <v>8.3089999999999993</v>
      </c>
      <c r="Z184">
        <v>67.867000000000004</v>
      </c>
      <c r="AA184">
        <v>56.329000000000001</v>
      </c>
      <c r="AB184">
        <v>28.126999999999999</v>
      </c>
      <c r="AC184">
        <v>28.312000000000001</v>
      </c>
      <c r="AD184">
        <v>29.114000000000001</v>
      </c>
    </row>
    <row r="185" spans="1:30"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52.686</v>
      </c>
      <c r="Y185">
        <v>8.3699999999999992</v>
      </c>
      <c r="Z185">
        <v>54.319000000000003</v>
      </c>
      <c r="AA185">
        <v>57.054000000000002</v>
      </c>
      <c r="AB185">
        <v>28.126999999999999</v>
      </c>
      <c r="AC185">
        <v>28.312000000000001</v>
      </c>
      <c r="AD185">
        <v>29.494</v>
      </c>
    </row>
    <row r="186" spans="1:30"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52.686</v>
      </c>
      <c r="Y186">
        <v>8.3059999999999992</v>
      </c>
      <c r="Z186">
        <v>39.744999999999997</v>
      </c>
      <c r="AA186">
        <v>59.627000000000002</v>
      </c>
      <c r="AB186">
        <v>28.126999999999999</v>
      </c>
      <c r="AC186">
        <v>28.312000000000001</v>
      </c>
      <c r="AD186">
        <v>29.114000000000001</v>
      </c>
    </row>
    <row r="187" spans="1:30"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52.686</v>
      </c>
      <c r="Y187">
        <v>8.3670000000000009</v>
      </c>
      <c r="Z187">
        <v>32.889000000000003</v>
      </c>
      <c r="AA187">
        <v>63.712000000000003</v>
      </c>
      <c r="AB187">
        <v>28.126999999999999</v>
      </c>
      <c r="AC187">
        <v>28.312000000000001</v>
      </c>
      <c r="AD187">
        <v>29.494</v>
      </c>
    </row>
    <row r="188" spans="1:30"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52.686</v>
      </c>
      <c r="Y188">
        <v>8.3040000000000003</v>
      </c>
      <c r="Z188">
        <v>27.594000000000001</v>
      </c>
      <c r="AA188">
        <v>69.781000000000006</v>
      </c>
      <c r="AB188">
        <v>28.126999999999999</v>
      </c>
      <c r="AC188">
        <v>28.312000000000001</v>
      </c>
      <c r="AD188">
        <v>29.114000000000001</v>
      </c>
    </row>
    <row r="189" spans="1:30"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52.686</v>
      </c>
      <c r="Y189">
        <v>8.3620000000000001</v>
      </c>
      <c r="Z189">
        <v>37.613999999999997</v>
      </c>
      <c r="AA189">
        <v>77.335999999999999</v>
      </c>
      <c r="AB189">
        <v>28.126999999999999</v>
      </c>
      <c r="AC189">
        <v>28.312000000000001</v>
      </c>
      <c r="AD189">
        <v>29.494</v>
      </c>
    </row>
    <row r="190" spans="1:30"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52.686</v>
      </c>
      <c r="Y190">
        <v>8.3010000000000002</v>
      </c>
      <c r="Z190">
        <v>47.463000000000001</v>
      </c>
      <c r="AA190">
        <v>87.671000000000006</v>
      </c>
      <c r="AB190">
        <v>28.126999999999999</v>
      </c>
      <c r="AC190">
        <v>28.312000000000001</v>
      </c>
      <c r="AD190">
        <v>29.114000000000001</v>
      </c>
    </row>
    <row r="191" spans="1:30"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52.686</v>
      </c>
      <c r="Y191">
        <v>8.3580000000000005</v>
      </c>
      <c r="Z191">
        <v>62.656999999999996</v>
      </c>
      <c r="AA191">
        <v>84.343000000000004</v>
      </c>
      <c r="AB191">
        <v>28.126999999999999</v>
      </c>
      <c r="AC191">
        <v>28.312000000000001</v>
      </c>
      <c r="AD191">
        <v>29.494</v>
      </c>
    </row>
    <row r="192" spans="1:30"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52.686</v>
      </c>
      <c r="Y192">
        <v>8.2970000000000006</v>
      </c>
      <c r="Z192">
        <v>76.484999999999999</v>
      </c>
      <c r="AA192">
        <v>84.349000000000004</v>
      </c>
      <c r="AB192">
        <v>28.126999999999999</v>
      </c>
      <c r="AC192">
        <v>28.312000000000001</v>
      </c>
      <c r="AD192">
        <v>29.114000000000001</v>
      </c>
    </row>
    <row r="193" spans="1:30"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52.686</v>
      </c>
      <c r="Y193">
        <v>8.3550000000000004</v>
      </c>
      <c r="Z193">
        <v>85.709000000000003</v>
      </c>
      <c r="AA193">
        <v>88.147999999999996</v>
      </c>
      <c r="AB193">
        <v>28.126999999999999</v>
      </c>
      <c r="AC193">
        <v>28.312000000000001</v>
      </c>
      <c r="AD193">
        <v>29.494</v>
      </c>
    </row>
    <row r="194" spans="1:30"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52.686</v>
      </c>
      <c r="Y194">
        <v>8.2940000000000005</v>
      </c>
      <c r="Z194">
        <v>74.394999999999996</v>
      </c>
      <c r="AA194">
        <v>76.462999999999994</v>
      </c>
      <c r="AB194">
        <v>28.126999999999999</v>
      </c>
      <c r="AC194">
        <v>28.312000000000001</v>
      </c>
      <c r="AD194">
        <v>29.114000000000001</v>
      </c>
    </row>
    <row r="195" spans="1:30"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52.686</v>
      </c>
      <c r="Y195">
        <v>8.3510000000000009</v>
      </c>
      <c r="Z195">
        <v>59.088000000000001</v>
      </c>
      <c r="AA195">
        <v>68.334000000000003</v>
      </c>
      <c r="AB195">
        <v>28.126999999999999</v>
      </c>
      <c r="AC195">
        <v>28.312000000000001</v>
      </c>
      <c r="AD195">
        <v>29.494</v>
      </c>
    </row>
    <row r="196" spans="1:30"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52.686</v>
      </c>
      <c r="Y196">
        <v>8.2899999999999991</v>
      </c>
      <c r="Z196">
        <v>42.613</v>
      </c>
      <c r="AA196">
        <v>62.973999999999997</v>
      </c>
      <c r="AB196">
        <v>28.126999999999999</v>
      </c>
      <c r="AC196">
        <v>28.312000000000001</v>
      </c>
      <c r="AD196">
        <v>29.114000000000001</v>
      </c>
    </row>
    <row r="197" spans="1:30"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52.686</v>
      </c>
      <c r="Y197">
        <v>8.3439999999999994</v>
      </c>
      <c r="Z197">
        <v>37.655000000000001</v>
      </c>
      <c r="AA197">
        <v>59.28</v>
      </c>
      <c r="AB197">
        <v>28.126999999999999</v>
      </c>
      <c r="AC197">
        <v>28.312000000000001</v>
      </c>
      <c r="AD197">
        <v>29.494</v>
      </c>
    </row>
    <row r="198" spans="1:30"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52.686</v>
      </c>
      <c r="Y198">
        <v>8.2889999999999997</v>
      </c>
      <c r="Z198">
        <v>27.667999999999999</v>
      </c>
      <c r="AA198">
        <v>56.938000000000002</v>
      </c>
      <c r="AB198">
        <v>28.126999999999999</v>
      </c>
      <c r="AC198">
        <v>28.312000000000001</v>
      </c>
      <c r="AD198">
        <v>29.114000000000001</v>
      </c>
    </row>
    <row r="199" spans="1:30"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52.686</v>
      </c>
      <c r="Y199">
        <v>8.34</v>
      </c>
      <c r="Z199">
        <v>40.630000000000003</v>
      </c>
      <c r="AA199">
        <v>57.006999999999998</v>
      </c>
      <c r="AB199">
        <v>28.126999999999999</v>
      </c>
      <c r="AC199">
        <v>28.312000000000001</v>
      </c>
      <c r="AD199">
        <v>29.494</v>
      </c>
    </row>
    <row r="200" spans="1:30"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52.686</v>
      </c>
      <c r="Y200">
        <v>8.2850000000000001</v>
      </c>
      <c r="Z200">
        <v>44.286999999999999</v>
      </c>
      <c r="AA200">
        <v>59.177999999999997</v>
      </c>
      <c r="AB200">
        <v>28.126999999999999</v>
      </c>
      <c r="AC200">
        <v>28.312000000000001</v>
      </c>
      <c r="AD200">
        <v>29.114000000000001</v>
      </c>
    </row>
    <row r="201" spans="1:30"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52.686</v>
      </c>
      <c r="Y201">
        <v>8.3350000000000009</v>
      </c>
      <c r="Z201">
        <v>60.131</v>
      </c>
      <c r="AA201">
        <v>62.767000000000003</v>
      </c>
      <c r="AB201">
        <v>28.126999999999999</v>
      </c>
      <c r="AC201">
        <v>28.312000000000001</v>
      </c>
      <c r="AD201">
        <v>29.494</v>
      </c>
    </row>
    <row r="202" spans="1:30"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52.686</v>
      </c>
      <c r="Y202">
        <v>8.2810000000000006</v>
      </c>
      <c r="Z202">
        <v>73.09</v>
      </c>
      <c r="AA202">
        <v>67.923000000000002</v>
      </c>
      <c r="AB202">
        <v>28.126999999999999</v>
      </c>
      <c r="AC202">
        <v>28.312000000000001</v>
      </c>
      <c r="AD202">
        <v>29.114000000000001</v>
      </c>
    </row>
    <row r="203" spans="1:30"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52.686</v>
      </c>
      <c r="Y203">
        <v>8.3309999999999995</v>
      </c>
      <c r="Z203">
        <v>78.203999999999994</v>
      </c>
      <c r="AA203">
        <v>75.921999999999997</v>
      </c>
      <c r="AB203">
        <v>28.126999999999999</v>
      </c>
      <c r="AC203">
        <v>28.312000000000001</v>
      </c>
      <c r="AD203">
        <v>29.494</v>
      </c>
    </row>
    <row r="204" spans="1:30"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52.686</v>
      </c>
      <c r="Y204">
        <v>8.2759999999999998</v>
      </c>
      <c r="Z204">
        <v>71.546999999999997</v>
      </c>
      <c r="AA204">
        <v>88.251000000000005</v>
      </c>
      <c r="AB204">
        <v>28.126999999999999</v>
      </c>
      <c r="AC204">
        <v>28.312000000000001</v>
      </c>
      <c r="AD204">
        <v>29.114000000000001</v>
      </c>
    </row>
    <row r="205" spans="1:30"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52.686</v>
      </c>
      <c r="Y205">
        <v>8.3260000000000005</v>
      </c>
      <c r="Z205">
        <v>58.683</v>
      </c>
      <c r="AA205">
        <v>84.918999999999997</v>
      </c>
      <c r="AB205">
        <v>28.126999999999999</v>
      </c>
      <c r="AC205">
        <v>28.312000000000001</v>
      </c>
      <c r="AD205">
        <v>29.494</v>
      </c>
    </row>
    <row r="206" spans="1:30"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52.686</v>
      </c>
      <c r="Y206">
        <v>8.2710000000000008</v>
      </c>
      <c r="Z206">
        <v>44.470999999999997</v>
      </c>
      <c r="AA206">
        <v>84.534999999999997</v>
      </c>
      <c r="AB206">
        <v>28.126999999999999</v>
      </c>
      <c r="AC206">
        <v>28.312000000000001</v>
      </c>
      <c r="AD206">
        <v>29.114000000000001</v>
      </c>
    </row>
    <row r="207" spans="1:30"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52.686</v>
      </c>
      <c r="Y207">
        <v>8.32</v>
      </c>
      <c r="Z207">
        <v>41.497999999999998</v>
      </c>
      <c r="AA207">
        <v>87.706999999999994</v>
      </c>
      <c r="AB207">
        <v>28.126999999999999</v>
      </c>
      <c r="AC207">
        <v>28.312000000000001</v>
      </c>
      <c r="AD207">
        <v>29.494</v>
      </c>
    </row>
    <row r="208" spans="1:30"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52.686</v>
      </c>
      <c r="Y208">
        <v>8.2680000000000007</v>
      </c>
      <c r="Z208">
        <v>27.552</v>
      </c>
      <c r="AA208">
        <v>77.481999999999999</v>
      </c>
      <c r="AB208">
        <v>28.126999999999999</v>
      </c>
      <c r="AC208">
        <v>28.312000000000001</v>
      </c>
      <c r="AD208">
        <v>29.114000000000001</v>
      </c>
    </row>
    <row r="209" spans="1:30"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52.686</v>
      </c>
      <c r="Y209">
        <v>8.3149999999999995</v>
      </c>
      <c r="Z209">
        <v>37.924999999999997</v>
      </c>
      <c r="AA209">
        <v>69.896000000000001</v>
      </c>
      <c r="AB209">
        <v>28.126999999999999</v>
      </c>
      <c r="AC209">
        <v>28.312000000000001</v>
      </c>
      <c r="AD209">
        <v>29.494</v>
      </c>
    </row>
    <row r="210" spans="1:30"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52.686</v>
      </c>
      <c r="Y210">
        <v>8.3140000000000001</v>
      </c>
      <c r="Z210">
        <v>42.832000000000001</v>
      </c>
      <c r="AA210">
        <v>64.05</v>
      </c>
      <c r="AB210">
        <v>28.126999999999999</v>
      </c>
      <c r="AC210">
        <v>28.312000000000001</v>
      </c>
      <c r="AD210">
        <v>29.114000000000001</v>
      </c>
    </row>
    <row r="211" spans="1:30"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52.686</v>
      </c>
      <c r="Y211">
        <v>8.3689999999999998</v>
      </c>
      <c r="Z211">
        <v>58.218000000000004</v>
      </c>
      <c r="AA211">
        <v>59.593000000000004</v>
      </c>
      <c r="AB211">
        <v>28.126999999999999</v>
      </c>
      <c r="AC211">
        <v>28.312000000000001</v>
      </c>
      <c r="AD211">
        <v>29.494</v>
      </c>
    </row>
    <row r="212" spans="1:30"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52.686</v>
      </c>
      <c r="Y212">
        <v>8.3309999999999995</v>
      </c>
      <c r="Z212">
        <v>72.234999999999999</v>
      </c>
      <c r="AA212">
        <v>56.872</v>
      </c>
      <c r="AB212">
        <v>28.126999999999999</v>
      </c>
      <c r="AC212">
        <v>28.312000000000001</v>
      </c>
      <c r="AD212">
        <v>29.114000000000001</v>
      </c>
    </row>
    <row r="213" spans="1:30"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52.686</v>
      </c>
      <c r="Y213">
        <v>8.3780000000000001</v>
      </c>
      <c r="Z213">
        <v>84.814999999999998</v>
      </c>
      <c r="AA213">
        <v>56.512999999999998</v>
      </c>
      <c r="AB213">
        <v>28.126999999999999</v>
      </c>
      <c r="AC213">
        <v>28.312000000000001</v>
      </c>
      <c r="AD213">
        <v>29.494</v>
      </c>
    </row>
    <row r="214" spans="1:30"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52.686</v>
      </c>
      <c r="Y214">
        <v>8.3369999999999997</v>
      </c>
      <c r="Z214">
        <v>78.14</v>
      </c>
      <c r="AA214">
        <v>58.595999999999997</v>
      </c>
      <c r="AB214">
        <v>28.126999999999999</v>
      </c>
      <c r="AC214">
        <v>28.312000000000001</v>
      </c>
      <c r="AD214">
        <v>29.114000000000001</v>
      </c>
    </row>
    <row r="215" spans="1:30"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52.686</v>
      </c>
      <c r="Y215">
        <v>8.3849999999999998</v>
      </c>
      <c r="Z215">
        <v>63.76</v>
      </c>
      <c r="AA215">
        <v>62.225999999999999</v>
      </c>
      <c r="AB215">
        <v>28.126999999999999</v>
      </c>
      <c r="AC215">
        <v>28.312000000000001</v>
      </c>
      <c r="AD215">
        <v>29.494</v>
      </c>
    </row>
    <row r="216" spans="1:30"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52.686</v>
      </c>
      <c r="Y216">
        <v>8.343</v>
      </c>
      <c r="Z216">
        <v>47.694000000000003</v>
      </c>
      <c r="AA216">
        <v>67.575000000000003</v>
      </c>
      <c r="AB216">
        <v>28.126999999999999</v>
      </c>
      <c r="AC216">
        <v>28.312000000000001</v>
      </c>
      <c r="AD216">
        <v>29.114000000000001</v>
      </c>
    </row>
    <row r="217" spans="1:30"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52.686</v>
      </c>
      <c r="Y217">
        <v>8.3870000000000005</v>
      </c>
      <c r="Z217">
        <v>31.27</v>
      </c>
      <c r="AA217">
        <v>74.787999999999997</v>
      </c>
      <c r="AB217">
        <v>28.126999999999999</v>
      </c>
      <c r="AC217">
        <v>28.312000000000001</v>
      </c>
      <c r="AD217">
        <v>29.494</v>
      </c>
    </row>
    <row r="218" spans="1:30"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52.686</v>
      </c>
      <c r="Y218">
        <v>8.3469999999999995</v>
      </c>
      <c r="Z218">
        <v>27.148</v>
      </c>
      <c r="AA218">
        <v>89.756</v>
      </c>
      <c r="AB218">
        <v>28.126999999999999</v>
      </c>
      <c r="AC218">
        <v>28.312000000000001</v>
      </c>
      <c r="AD218">
        <v>29.114000000000001</v>
      </c>
    </row>
    <row r="219" spans="1:30"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52.686</v>
      </c>
      <c r="Y219">
        <v>8.3879999999999999</v>
      </c>
      <c r="Z219">
        <v>33.588999999999999</v>
      </c>
      <c r="AA219">
        <v>86.247</v>
      </c>
      <c r="AB219">
        <v>28.126999999999999</v>
      </c>
      <c r="AC219">
        <v>28.312000000000001</v>
      </c>
      <c r="AD219">
        <v>29.494</v>
      </c>
    </row>
    <row r="220" spans="1:30"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52.686</v>
      </c>
      <c r="Y220">
        <v>8.3480000000000008</v>
      </c>
      <c r="Z220">
        <v>39.688000000000002</v>
      </c>
      <c r="AA220">
        <v>86.224999999999994</v>
      </c>
      <c r="AB220">
        <v>28.126999999999999</v>
      </c>
      <c r="AC220">
        <v>28.312000000000001</v>
      </c>
      <c r="AD220">
        <v>29.114000000000001</v>
      </c>
    </row>
    <row r="221" spans="1:30"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52.686</v>
      </c>
      <c r="Y221">
        <v>8.39</v>
      </c>
      <c r="Z221">
        <v>55.424999999999997</v>
      </c>
      <c r="AA221">
        <v>86.35</v>
      </c>
      <c r="AB221">
        <v>28.126999999999999</v>
      </c>
      <c r="AC221">
        <v>28.312000000000001</v>
      </c>
      <c r="AD221">
        <v>29.494</v>
      </c>
    </row>
    <row r="222" spans="1:30"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52.686</v>
      </c>
      <c r="Y222">
        <v>8.35</v>
      </c>
      <c r="Z222">
        <v>69.433000000000007</v>
      </c>
      <c r="AA222">
        <v>78.864999999999995</v>
      </c>
      <c r="AB222">
        <v>28.126999999999999</v>
      </c>
      <c r="AC222">
        <v>28.312000000000001</v>
      </c>
      <c r="AD222">
        <v>29.114000000000001</v>
      </c>
    </row>
    <row r="223" spans="1:30"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52.686</v>
      </c>
      <c r="Y223">
        <v>8.39</v>
      </c>
      <c r="Z223">
        <v>81.641000000000005</v>
      </c>
      <c r="AA223">
        <v>70.423000000000002</v>
      </c>
      <c r="AB223">
        <v>28.126999999999999</v>
      </c>
      <c r="AC223">
        <v>28.312000000000001</v>
      </c>
      <c r="AD223">
        <v>29.494</v>
      </c>
    </row>
    <row r="224" spans="1:30"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52.686</v>
      </c>
      <c r="Y224">
        <v>8.3490000000000002</v>
      </c>
      <c r="Z224">
        <v>74.834000000000003</v>
      </c>
      <c r="AA224">
        <v>64.745000000000005</v>
      </c>
      <c r="AB224">
        <v>28.126999999999999</v>
      </c>
      <c r="AC224">
        <v>28.312000000000001</v>
      </c>
      <c r="AD224">
        <v>29.114000000000001</v>
      </c>
    </row>
    <row r="225" spans="1:30"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52.686</v>
      </c>
      <c r="Y225">
        <v>8.3879999999999999</v>
      </c>
      <c r="Z225">
        <v>62.38</v>
      </c>
      <c r="AA225">
        <v>60.503999999999998</v>
      </c>
      <c r="AB225">
        <v>28.126999999999999</v>
      </c>
      <c r="AC225">
        <v>28.312000000000001</v>
      </c>
      <c r="AD225">
        <v>29.494</v>
      </c>
    </row>
    <row r="226" spans="1:30"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52.686</v>
      </c>
      <c r="Y226">
        <v>8.35</v>
      </c>
      <c r="Z226">
        <v>48.823</v>
      </c>
      <c r="AA226">
        <v>57.578000000000003</v>
      </c>
      <c r="AB226">
        <v>28.126999999999999</v>
      </c>
      <c r="AC226">
        <v>28.312000000000001</v>
      </c>
      <c r="AD226">
        <v>29.114000000000001</v>
      </c>
    </row>
    <row r="227" spans="1:30"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52.686</v>
      </c>
      <c r="Y227">
        <v>8.3879999999999999</v>
      </c>
      <c r="Z227">
        <v>35.155000000000001</v>
      </c>
      <c r="AA227">
        <v>56.725999999999999</v>
      </c>
      <c r="AB227">
        <v>28.126999999999999</v>
      </c>
      <c r="AC227">
        <v>28.312000000000001</v>
      </c>
      <c r="AD227">
        <v>29.494</v>
      </c>
    </row>
    <row r="228" spans="1:30"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52.686</v>
      </c>
      <c r="Y228">
        <v>8.3490000000000002</v>
      </c>
      <c r="Z228">
        <v>27.713999999999999</v>
      </c>
      <c r="AA228">
        <v>58.271999999999998</v>
      </c>
      <c r="AB228">
        <v>28.126999999999999</v>
      </c>
      <c r="AC228">
        <v>28.312000000000001</v>
      </c>
      <c r="AD228">
        <v>29.114000000000001</v>
      </c>
    </row>
    <row r="229" spans="1:30"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52.686</v>
      </c>
      <c r="Y229">
        <v>8.3849999999999998</v>
      </c>
      <c r="Z229">
        <v>29.344999999999999</v>
      </c>
      <c r="AA229">
        <v>61.137</v>
      </c>
      <c r="AB229">
        <v>28.126999999999999</v>
      </c>
      <c r="AC229">
        <v>28.312000000000001</v>
      </c>
      <c r="AD229">
        <v>29.494</v>
      </c>
    </row>
    <row r="230" spans="1:30"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52.686</v>
      </c>
      <c r="Y230">
        <v>8.3469999999999995</v>
      </c>
      <c r="Z230">
        <v>37.817999999999998</v>
      </c>
      <c r="AA230">
        <v>65.792000000000002</v>
      </c>
      <c r="AB230">
        <v>28.126999999999999</v>
      </c>
      <c r="AC230">
        <v>28.312000000000001</v>
      </c>
      <c r="AD230">
        <v>29.114000000000001</v>
      </c>
    </row>
    <row r="231" spans="1:30"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52.686</v>
      </c>
      <c r="Y231">
        <v>8.3819999999999997</v>
      </c>
      <c r="Z231">
        <v>53.636000000000003</v>
      </c>
      <c r="AA231">
        <v>72.141000000000005</v>
      </c>
      <c r="AB231">
        <v>28.126999999999999</v>
      </c>
      <c r="AC231">
        <v>28.312000000000001</v>
      </c>
      <c r="AD231">
        <v>29.494</v>
      </c>
    </row>
    <row r="232" spans="1:30"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52.686</v>
      </c>
      <c r="Y232">
        <v>8.3450000000000006</v>
      </c>
      <c r="Z232">
        <v>68.296999999999997</v>
      </c>
      <c r="AA232">
        <v>88.864000000000004</v>
      </c>
      <c r="AB232">
        <v>28.126999999999999</v>
      </c>
      <c r="AC232">
        <v>28.312000000000001</v>
      </c>
      <c r="AD232">
        <v>29.114000000000001</v>
      </c>
    </row>
    <row r="233" spans="1:30"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52.686</v>
      </c>
      <c r="Y233">
        <v>8.4019999999999992</v>
      </c>
      <c r="Z233">
        <v>81.117999999999995</v>
      </c>
      <c r="AA233">
        <v>86.233999999999995</v>
      </c>
      <c r="AB233">
        <v>28.126999999999999</v>
      </c>
      <c r="AC233">
        <v>28.312000000000001</v>
      </c>
      <c r="AD233">
        <v>29.494</v>
      </c>
    </row>
    <row r="234" spans="1:30"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52.686</v>
      </c>
      <c r="Y234">
        <v>8.4250000000000007</v>
      </c>
      <c r="Z234">
        <v>82.394999999999996</v>
      </c>
      <c r="AA234">
        <v>90.524000000000001</v>
      </c>
      <c r="AB234">
        <v>28.126999999999999</v>
      </c>
      <c r="AC234">
        <v>28.312000000000001</v>
      </c>
      <c r="AD234">
        <v>29.114000000000001</v>
      </c>
    </row>
    <row r="235" spans="1:30"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52.686</v>
      </c>
      <c r="Y235">
        <v>8.4060000000000006</v>
      </c>
      <c r="Z235">
        <v>68.646000000000001</v>
      </c>
      <c r="AA235">
        <v>87.034000000000006</v>
      </c>
      <c r="AB235">
        <v>28.126999999999999</v>
      </c>
      <c r="AC235">
        <v>28.312000000000001</v>
      </c>
      <c r="AD235">
        <v>29.494</v>
      </c>
    </row>
    <row r="236" spans="1:30"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52.686</v>
      </c>
      <c r="Y236">
        <v>8.4269999999999996</v>
      </c>
      <c r="Z236">
        <v>52.814</v>
      </c>
      <c r="AA236">
        <v>86.292000000000002</v>
      </c>
      <c r="AB236">
        <v>28.126999999999999</v>
      </c>
      <c r="AC236">
        <v>28.312000000000001</v>
      </c>
      <c r="AD236">
        <v>29.114000000000001</v>
      </c>
    </row>
    <row r="237" spans="1:30"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52.686</v>
      </c>
      <c r="Y237">
        <v>8.4049999999999994</v>
      </c>
      <c r="Z237">
        <v>36.402999999999999</v>
      </c>
      <c r="AA237">
        <v>72.929000000000002</v>
      </c>
      <c r="AB237">
        <v>28.126999999999999</v>
      </c>
      <c r="AC237">
        <v>28.312000000000001</v>
      </c>
      <c r="AD237">
        <v>29.494</v>
      </c>
    </row>
    <row r="238" spans="1:30"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52.686</v>
      </c>
      <c r="Y238">
        <v>8.4320000000000004</v>
      </c>
      <c r="Z238">
        <v>27.927</v>
      </c>
      <c r="AA238">
        <v>66.076999999999998</v>
      </c>
      <c r="AB238">
        <v>28.126999999999999</v>
      </c>
      <c r="AC238">
        <v>28.312000000000001</v>
      </c>
      <c r="AD238">
        <v>29.114000000000001</v>
      </c>
    </row>
    <row r="239" spans="1:30"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52.686</v>
      </c>
      <c r="Y239">
        <v>8.3979999999999997</v>
      </c>
      <c r="Z239">
        <v>27.675999999999998</v>
      </c>
      <c r="AA239">
        <v>61.134999999999998</v>
      </c>
      <c r="AB239">
        <v>28.126999999999999</v>
      </c>
      <c r="AC239">
        <v>28.312000000000001</v>
      </c>
      <c r="AD239">
        <v>29.494</v>
      </c>
    </row>
    <row r="240" spans="1:30"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52.686</v>
      </c>
      <c r="Y240">
        <v>8.41</v>
      </c>
      <c r="Z240">
        <v>34.957000000000001</v>
      </c>
      <c r="AA240">
        <v>57.902999999999999</v>
      </c>
      <c r="AB240">
        <v>28.126999999999999</v>
      </c>
      <c r="AC240">
        <v>28.312000000000001</v>
      </c>
      <c r="AD240">
        <v>29.114000000000001</v>
      </c>
    </row>
    <row r="241" spans="1:30"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52.686</v>
      </c>
      <c r="Y241">
        <v>8.3829999999999991</v>
      </c>
      <c r="Z241">
        <v>51.201999999999998</v>
      </c>
      <c r="AA241">
        <v>56.473999999999997</v>
      </c>
      <c r="AB241">
        <v>28.126999999999999</v>
      </c>
      <c r="AC241">
        <v>28.312000000000001</v>
      </c>
      <c r="AD241">
        <v>29.494</v>
      </c>
    </row>
    <row r="242" spans="1:30"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52.686</v>
      </c>
      <c r="Y242">
        <v>8.3800000000000008</v>
      </c>
      <c r="Z242">
        <v>65.652000000000001</v>
      </c>
      <c r="AA242">
        <v>57.625999999999998</v>
      </c>
      <c r="AB242">
        <v>28.126999999999999</v>
      </c>
      <c r="AC242">
        <v>28.312000000000001</v>
      </c>
      <c r="AD242">
        <v>29.114000000000001</v>
      </c>
    </row>
    <row r="243" spans="1:30"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52.686</v>
      </c>
      <c r="Y243">
        <v>8.3490000000000002</v>
      </c>
      <c r="Z243">
        <v>78.028000000000006</v>
      </c>
      <c r="AA243">
        <v>60.718000000000004</v>
      </c>
      <c r="AB243">
        <v>28.126999999999999</v>
      </c>
      <c r="AC243">
        <v>28.312000000000001</v>
      </c>
      <c r="AD243">
        <v>29.494</v>
      </c>
    </row>
    <row r="244" spans="1:30"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52.686</v>
      </c>
      <c r="Y244">
        <v>8.3529999999999998</v>
      </c>
      <c r="Z244">
        <v>77.613</v>
      </c>
      <c r="AA244">
        <v>65.438000000000002</v>
      </c>
      <c r="AB244">
        <v>28.126999999999999</v>
      </c>
      <c r="AC244">
        <v>28.312000000000001</v>
      </c>
      <c r="AD244">
        <v>29.114000000000001</v>
      </c>
    </row>
    <row r="245" spans="1:30"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52.686</v>
      </c>
      <c r="Y245">
        <v>8.3140000000000001</v>
      </c>
      <c r="Z245">
        <v>66.343999999999994</v>
      </c>
      <c r="AA245">
        <v>71.944999999999993</v>
      </c>
      <c r="AB245">
        <v>28.126999999999999</v>
      </c>
      <c r="AC245">
        <v>28.312000000000001</v>
      </c>
      <c r="AD245">
        <v>29.494</v>
      </c>
    </row>
    <row r="246" spans="1:30"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52.686</v>
      </c>
      <c r="Y246">
        <v>8.3230000000000004</v>
      </c>
      <c r="Z246">
        <v>52.905999999999999</v>
      </c>
      <c r="AA246">
        <v>79.233000000000004</v>
      </c>
      <c r="AB246">
        <v>28.126999999999999</v>
      </c>
      <c r="AC246">
        <v>28.312000000000001</v>
      </c>
      <c r="AD246">
        <v>29.114000000000001</v>
      </c>
    </row>
    <row r="247" spans="1:30"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52.686</v>
      </c>
      <c r="Y247">
        <v>8.3130000000000006</v>
      </c>
      <c r="Z247">
        <v>37.661000000000001</v>
      </c>
      <c r="AA247">
        <v>86.91</v>
      </c>
      <c r="AB247">
        <v>28.126999999999999</v>
      </c>
      <c r="AC247">
        <v>28.312000000000001</v>
      </c>
      <c r="AD247">
        <v>29.494</v>
      </c>
    </row>
    <row r="248" spans="1:30"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52.686</v>
      </c>
      <c r="Y248">
        <v>8.3320000000000007</v>
      </c>
      <c r="Z248">
        <v>30.288</v>
      </c>
      <c r="AA248">
        <v>86.995999999999995</v>
      </c>
      <c r="AB248">
        <v>28.126999999999999</v>
      </c>
      <c r="AC248">
        <v>28.312000000000001</v>
      </c>
      <c r="AD248">
        <v>29.114000000000001</v>
      </c>
    </row>
    <row r="249" spans="1:30"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52.686</v>
      </c>
      <c r="Y249">
        <v>8.3010000000000002</v>
      </c>
      <c r="Z249">
        <v>27.774000000000001</v>
      </c>
      <c r="AA249">
        <v>85.793999999999997</v>
      </c>
      <c r="AB249">
        <v>28.126999999999999</v>
      </c>
      <c r="AC249">
        <v>28.312000000000001</v>
      </c>
      <c r="AD249">
        <v>29.494</v>
      </c>
    </row>
    <row r="250" spans="1:30"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52.686</v>
      </c>
      <c r="Y250">
        <v>8.2569999999999997</v>
      </c>
      <c r="Z250">
        <v>35.485999999999997</v>
      </c>
      <c r="AA250">
        <v>89.709000000000003</v>
      </c>
      <c r="AB250">
        <v>28.126999999999999</v>
      </c>
      <c r="AC250">
        <v>28.312000000000001</v>
      </c>
      <c r="AD250">
        <v>29.114000000000001</v>
      </c>
    </row>
    <row r="251" spans="1:30"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52.686</v>
      </c>
      <c r="Y251">
        <v>8.3309999999999995</v>
      </c>
      <c r="Z251">
        <v>48.843000000000004</v>
      </c>
      <c r="AA251">
        <v>73.102000000000004</v>
      </c>
      <c r="AB251">
        <v>28.126999999999999</v>
      </c>
      <c r="AC251">
        <v>28.312000000000001</v>
      </c>
      <c r="AD251">
        <v>29.494</v>
      </c>
    </row>
    <row r="252" spans="1:30"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52.686</v>
      </c>
      <c r="Y252">
        <v>8.3620000000000001</v>
      </c>
      <c r="Z252">
        <v>63.904000000000003</v>
      </c>
      <c r="AA252">
        <v>66.667000000000002</v>
      </c>
      <c r="AB252">
        <v>28.126999999999999</v>
      </c>
      <c r="AC252">
        <v>28.312000000000001</v>
      </c>
      <c r="AD252">
        <v>29.114000000000001</v>
      </c>
    </row>
    <row r="253" spans="1:30"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52.686</v>
      </c>
      <c r="Y253">
        <v>8.3889999999999993</v>
      </c>
      <c r="Z253">
        <v>77.638999999999996</v>
      </c>
      <c r="AA253">
        <v>61.667000000000002</v>
      </c>
      <c r="AB253">
        <v>28.126999999999999</v>
      </c>
      <c r="AC253">
        <v>28.312000000000001</v>
      </c>
      <c r="AD253">
        <v>29.494</v>
      </c>
    </row>
    <row r="254" spans="1:30"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52.686</v>
      </c>
      <c r="Y254">
        <v>8.5220000000000002</v>
      </c>
      <c r="Z254">
        <v>85.745999999999995</v>
      </c>
      <c r="AA254">
        <v>58.468000000000004</v>
      </c>
      <c r="AB254">
        <v>28.126999999999999</v>
      </c>
      <c r="AC254">
        <v>28.312000000000001</v>
      </c>
      <c r="AD254">
        <v>29.114000000000001</v>
      </c>
    </row>
    <row r="255" spans="1:30"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52.686</v>
      </c>
      <c r="Y255">
        <v>8.3829999999999991</v>
      </c>
      <c r="Z255">
        <v>72.725999999999999</v>
      </c>
      <c r="AA255">
        <v>56.670999999999999</v>
      </c>
      <c r="AB255">
        <v>28.126999999999999</v>
      </c>
      <c r="AC255">
        <v>28.312000000000001</v>
      </c>
      <c r="AD255">
        <v>29.494</v>
      </c>
    </row>
    <row r="256" spans="1:30"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52.686</v>
      </c>
      <c r="Y256">
        <v>8.4440000000000008</v>
      </c>
      <c r="Z256">
        <v>57.661000000000001</v>
      </c>
      <c r="AA256">
        <v>57.6</v>
      </c>
      <c r="AB256">
        <v>28.126999999999999</v>
      </c>
      <c r="AC256">
        <v>28.312000000000001</v>
      </c>
      <c r="AD256">
        <v>29.114000000000001</v>
      </c>
    </row>
    <row r="257" spans="1:30"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52.686</v>
      </c>
      <c r="Y257">
        <v>8.4809999999999999</v>
      </c>
      <c r="Z257">
        <v>41.042000000000002</v>
      </c>
      <c r="AA257">
        <v>60.087000000000003</v>
      </c>
      <c r="AB257">
        <v>28.126999999999999</v>
      </c>
      <c r="AC257">
        <v>28.312000000000001</v>
      </c>
      <c r="AD257">
        <v>29.494</v>
      </c>
    </row>
    <row r="258" spans="1:30"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52.686</v>
      </c>
      <c r="Y258">
        <v>8.5399999999999991</v>
      </c>
      <c r="Z258">
        <v>35.15</v>
      </c>
      <c r="AA258">
        <v>64.17</v>
      </c>
      <c r="AB258">
        <v>28.126999999999999</v>
      </c>
      <c r="AC258">
        <v>28.312000000000001</v>
      </c>
      <c r="AD258">
        <v>29.114000000000001</v>
      </c>
    </row>
    <row r="259" spans="1:30"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52.686</v>
      </c>
      <c r="Y259">
        <v>8.5449999999999999</v>
      </c>
      <c r="Z259">
        <v>27.504000000000001</v>
      </c>
      <c r="AA259">
        <v>69.867000000000004</v>
      </c>
      <c r="AB259">
        <v>28.126999999999999</v>
      </c>
      <c r="AC259">
        <v>28.312000000000001</v>
      </c>
      <c r="AD259">
        <v>29.494</v>
      </c>
    </row>
    <row r="260" spans="1:30"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52.686</v>
      </c>
      <c r="Y260">
        <v>8.6780000000000008</v>
      </c>
      <c r="Z260">
        <v>41.994</v>
      </c>
      <c r="AA260">
        <v>78.168000000000006</v>
      </c>
      <c r="AB260">
        <v>28.126999999999999</v>
      </c>
      <c r="AC260">
        <v>28.312000000000001</v>
      </c>
      <c r="AD260">
        <v>29.114000000000001</v>
      </c>
    </row>
    <row r="261" spans="1:30"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52.686</v>
      </c>
      <c r="Y261">
        <v>8.6300000000000008</v>
      </c>
      <c r="Z261">
        <v>46.061999999999998</v>
      </c>
      <c r="AA261">
        <v>86.921000000000006</v>
      </c>
      <c r="AB261">
        <v>28.126999999999999</v>
      </c>
      <c r="AC261">
        <v>28.312000000000001</v>
      </c>
      <c r="AD261">
        <v>29.494</v>
      </c>
    </row>
    <row r="262" spans="1:30"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52.686</v>
      </c>
      <c r="Y262">
        <v>8.6620000000000008</v>
      </c>
      <c r="Z262">
        <v>61.485999999999997</v>
      </c>
      <c r="AA262">
        <v>85.078000000000003</v>
      </c>
      <c r="AB262">
        <v>28.126999999999999</v>
      </c>
      <c r="AC262">
        <v>28.312000000000001</v>
      </c>
      <c r="AD262">
        <v>29.114000000000001</v>
      </c>
    </row>
    <row r="263" spans="1:30"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52.686</v>
      </c>
      <c r="Y263">
        <v>8.6240000000000006</v>
      </c>
      <c r="Z263">
        <v>74.146000000000001</v>
      </c>
      <c r="AA263">
        <v>85.296999999999997</v>
      </c>
      <c r="AB263">
        <v>28.126999999999999</v>
      </c>
      <c r="AC263">
        <v>28.312000000000001</v>
      </c>
      <c r="AD263">
        <v>29.494</v>
      </c>
    </row>
    <row r="264" spans="1:30"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52.686</v>
      </c>
      <c r="Y264">
        <v>8.66</v>
      </c>
      <c r="Z264">
        <v>80.994</v>
      </c>
      <c r="AA264">
        <v>89.12</v>
      </c>
      <c r="AB264">
        <v>28.126999999999999</v>
      </c>
      <c r="AC264">
        <v>28.312000000000001</v>
      </c>
      <c r="AD264">
        <v>29.114000000000001</v>
      </c>
    </row>
    <row r="265" spans="1:30"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52.686</v>
      </c>
      <c r="Y265">
        <v>8.6219999999999999</v>
      </c>
      <c r="Z265">
        <v>70.138000000000005</v>
      </c>
      <c r="AA265">
        <v>75.519000000000005</v>
      </c>
      <c r="AB265">
        <v>28.126999999999999</v>
      </c>
      <c r="AC265">
        <v>28.312000000000001</v>
      </c>
      <c r="AD265">
        <v>29.494</v>
      </c>
    </row>
    <row r="266" spans="1:30"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52.536000000000001</v>
      </c>
      <c r="Y266">
        <v>8.6560000000000006</v>
      </c>
      <c r="Z266">
        <v>57.262</v>
      </c>
      <c r="AA266">
        <v>68.204999999999998</v>
      </c>
      <c r="AB266">
        <v>28.126999999999999</v>
      </c>
      <c r="AC266">
        <v>28.312000000000001</v>
      </c>
      <c r="AD266">
        <v>29.114000000000001</v>
      </c>
    </row>
    <row r="267" spans="1:30"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Y267">
        <v>8.6150000000000002</v>
      </c>
      <c r="Z267">
        <v>42.588999999999999</v>
      </c>
      <c r="AA267">
        <v>62.448</v>
      </c>
      <c r="AB267">
        <v>28.126999999999999</v>
      </c>
      <c r="AC267">
        <v>28.312000000000001</v>
      </c>
      <c r="AD267">
        <v>29.494</v>
      </c>
    </row>
    <row r="268" spans="1:30"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Y268">
        <v>8.609</v>
      </c>
      <c r="Z268">
        <v>38.956000000000003</v>
      </c>
      <c r="AA268">
        <v>58.656999999999996</v>
      </c>
      <c r="AB268">
        <v>28.126999999999999</v>
      </c>
      <c r="AC268">
        <v>28.312000000000001</v>
      </c>
      <c r="AD268">
        <v>29.114000000000001</v>
      </c>
    </row>
    <row r="269" spans="1:30"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Y269">
        <v>8.6059999999999999</v>
      </c>
      <c r="Z269">
        <v>27.611000000000001</v>
      </c>
      <c r="AA269">
        <v>56.459000000000003</v>
      </c>
      <c r="AB269">
        <v>28.126999999999999</v>
      </c>
      <c r="AC269">
        <v>28.312000000000001</v>
      </c>
      <c r="AD269">
        <v>29.494</v>
      </c>
    </row>
    <row r="270" spans="1:30"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Y270">
        <v>8.5690000000000008</v>
      </c>
      <c r="Z270">
        <v>40.661000000000001</v>
      </c>
      <c r="AA270">
        <v>56.896000000000001</v>
      </c>
      <c r="AB270">
        <v>28.126999999999999</v>
      </c>
      <c r="AC270">
        <v>28.312000000000001</v>
      </c>
      <c r="AD270">
        <v>29.114000000000001</v>
      </c>
    </row>
    <row r="271" spans="1:30"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Y271">
        <v>8.5839999999999996</v>
      </c>
      <c r="Z271">
        <v>44.25</v>
      </c>
      <c r="AA271">
        <v>59.311</v>
      </c>
      <c r="AB271">
        <v>28.126999999999999</v>
      </c>
      <c r="AC271">
        <v>28.312000000000001</v>
      </c>
      <c r="AD271">
        <v>29.494</v>
      </c>
    </row>
    <row r="272" spans="1:30"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Y272">
        <v>8.59</v>
      </c>
      <c r="Z272">
        <v>59.673000000000002</v>
      </c>
      <c r="AA272">
        <v>63.267000000000003</v>
      </c>
      <c r="AB272">
        <v>28.126999999999999</v>
      </c>
      <c r="AC272">
        <v>28.312000000000001</v>
      </c>
      <c r="AD272">
        <v>29.114000000000001</v>
      </c>
    </row>
    <row r="273" spans="1:30"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Y273">
        <v>8.6069999999999993</v>
      </c>
      <c r="Z273">
        <v>73.828999999999994</v>
      </c>
      <c r="AA273">
        <v>69.278000000000006</v>
      </c>
      <c r="AB273">
        <v>28.126999999999999</v>
      </c>
      <c r="AC273">
        <v>28.312000000000001</v>
      </c>
      <c r="AD273">
        <v>29.494</v>
      </c>
    </row>
    <row r="274" spans="1:30"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Y274">
        <v>8.6080000000000005</v>
      </c>
      <c r="Z274">
        <v>81.837999999999994</v>
      </c>
      <c r="AA274">
        <v>76.715000000000003</v>
      </c>
      <c r="AB274">
        <v>28.126999999999999</v>
      </c>
      <c r="AC274">
        <v>28.312000000000001</v>
      </c>
      <c r="AD274">
        <v>29.114000000000001</v>
      </c>
    </row>
    <row r="275" spans="1:30"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Y275">
        <v>8.6189999999999998</v>
      </c>
      <c r="Z275">
        <v>76.790999999999997</v>
      </c>
      <c r="AA275">
        <v>88.19</v>
      </c>
      <c r="AB275">
        <v>28.126999999999999</v>
      </c>
      <c r="AC275">
        <v>28.312000000000001</v>
      </c>
      <c r="AD275">
        <v>29.494</v>
      </c>
    </row>
    <row r="276" spans="1:30"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Y276">
        <v>8.6170000000000009</v>
      </c>
      <c r="Z276">
        <v>62.567</v>
      </c>
      <c r="AA276">
        <v>84.242000000000004</v>
      </c>
      <c r="AB276">
        <v>28.126999999999999</v>
      </c>
      <c r="AC276">
        <v>28.312000000000001</v>
      </c>
      <c r="AD276">
        <v>29.114000000000001</v>
      </c>
    </row>
    <row r="277" spans="1:30"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Y277">
        <v>8.6270000000000007</v>
      </c>
      <c r="Z277">
        <v>46.140999999999998</v>
      </c>
      <c r="AA277">
        <v>84</v>
      </c>
      <c r="AB277">
        <v>28.126999999999999</v>
      </c>
      <c r="AC277">
        <v>28.312000000000001</v>
      </c>
      <c r="AD277">
        <v>29.494</v>
      </c>
    </row>
    <row r="278" spans="1:30"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Y278">
        <v>8.6240000000000006</v>
      </c>
      <c r="Z278">
        <v>41.197000000000003</v>
      </c>
      <c r="AA278">
        <v>87.65</v>
      </c>
      <c r="AB278">
        <v>28.126999999999999</v>
      </c>
      <c r="AC278">
        <v>28.312000000000001</v>
      </c>
      <c r="AD278">
        <v>29.114000000000001</v>
      </c>
    </row>
    <row r="279" spans="1:30"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Y279">
        <v>8.6319999999999997</v>
      </c>
      <c r="Z279">
        <v>27.635999999999999</v>
      </c>
      <c r="AA279">
        <v>76.745999999999995</v>
      </c>
      <c r="AB279">
        <v>28.126999999999999</v>
      </c>
      <c r="AC279">
        <v>28.312000000000001</v>
      </c>
      <c r="AD279">
        <v>29.494</v>
      </c>
    </row>
    <row r="280" spans="1:30"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Y280">
        <v>8.6280000000000001</v>
      </c>
      <c r="Z280">
        <v>36.314999999999998</v>
      </c>
      <c r="AA280">
        <v>68.825000000000003</v>
      </c>
      <c r="AB280">
        <v>28.126999999999999</v>
      </c>
      <c r="AC280">
        <v>28.312000000000001</v>
      </c>
      <c r="AD280">
        <v>29.114000000000001</v>
      </c>
    </row>
    <row r="281" spans="1:30"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Y281">
        <v>8.6370000000000005</v>
      </c>
      <c r="Z281">
        <v>41.267000000000003</v>
      </c>
      <c r="AA281">
        <v>63.298000000000002</v>
      </c>
      <c r="AB281">
        <v>28.126999999999999</v>
      </c>
      <c r="AC281">
        <v>28.312000000000001</v>
      </c>
      <c r="AD281">
        <v>29.494</v>
      </c>
    </row>
    <row r="282" spans="1:30"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Y282">
        <v>8.6319999999999997</v>
      </c>
      <c r="Z282">
        <v>57.381999999999998</v>
      </c>
      <c r="AA282">
        <v>59.563000000000002</v>
      </c>
      <c r="AB282">
        <v>28.126999999999999</v>
      </c>
      <c r="AC282">
        <v>28.312000000000001</v>
      </c>
      <c r="AD282">
        <v>29.114000000000001</v>
      </c>
    </row>
    <row r="283" spans="1:30"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Y283">
        <v>8.6379999999999999</v>
      </c>
      <c r="Z283">
        <v>70.813999999999993</v>
      </c>
      <c r="AA283">
        <v>56.96</v>
      </c>
      <c r="AB283">
        <v>28.126999999999999</v>
      </c>
      <c r="AC283">
        <v>28.312000000000001</v>
      </c>
      <c r="AD283">
        <v>29.494</v>
      </c>
    </row>
    <row r="284" spans="1:30"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Y284">
        <v>8.6319999999999997</v>
      </c>
      <c r="Z284">
        <v>81.489000000000004</v>
      </c>
      <c r="AA284">
        <v>56.883000000000003</v>
      </c>
      <c r="AB284">
        <v>28.126999999999999</v>
      </c>
      <c r="AC284">
        <v>28.312000000000001</v>
      </c>
      <c r="AD284">
        <v>29.114000000000001</v>
      </c>
    </row>
    <row r="285" spans="1:30"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Y285">
        <v>8.6370000000000005</v>
      </c>
      <c r="Z285">
        <v>73.917000000000002</v>
      </c>
      <c r="AA285">
        <v>59.107999999999997</v>
      </c>
      <c r="AB285">
        <v>28.126999999999999</v>
      </c>
      <c r="AC285">
        <v>28.312000000000001</v>
      </c>
      <c r="AD285">
        <v>29.494</v>
      </c>
    </row>
    <row r="286" spans="1:30"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Y286">
        <v>8.6310000000000002</v>
      </c>
      <c r="Z286">
        <v>61.29</v>
      </c>
      <c r="AA286">
        <v>62.456000000000003</v>
      </c>
      <c r="AB286">
        <v>28.126999999999999</v>
      </c>
      <c r="AC286">
        <v>28.312000000000001</v>
      </c>
      <c r="AD286">
        <v>29.114000000000001</v>
      </c>
    </row>
    <row r="287" spans="1:30"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Y287">
        <v>8.6340000000000003</v>
      </c>
      <c r="Z287">
        <v>47.146999999999998</v>
      </c>
      <c r="AA287">
        <v>67.55</v>
      </c>
      <c r="AB287">
        <v>28.126999999999999</v>
      </c>
      <c r="AC287">
        <v>28.312000000000001</v>
      </c>
      <c r="AD287">
        <v>29.494</v>
      </c>
    </row>
    <row r="288" spans="1:30"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Y288">
        <v>8.625</v>
      </c>
      <c r="Z288">
        <v>37.866</v>
      </c>
      <c r="AA288">
        <v>75.135999999999996</v>
      </c>
      <c r="AB288">
        <v>28.126999999999999</v>
      </c>
      <c r="AC288">
        <v>28.312000000000001</v>
      </c>
      <c r="AD288">
        <v>29.114000000000001</v>
      </c>
    </row>
    <row r="289" spans="1:30"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Y289">
        <v>8.625</v>
      </c>
      <c r="Z289">
        <v>27.652000000000001</v>
      </c>
      <c r="AA289">
        <v>88.986999999999995</v>
      </c>
      <c r="AB289">
        <v>28.126999999999999</v>
      </c>
      <c r="AC289">
        <v>28.312000000000001</v>
      </c>
      <c r="AD289">
        <v>29.494</v>
      </c>
    </row>
    <row r="290" spans="1:30"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Y290">
        <v>8.61</v>
      </c>
      <c r="Z290">
        <v>32.195</v>
      </c>
      <c r="AA290">
        <v>85.055999999999997</v>
      </c>
      <c r="AB290">
        <v>28.126999999999999</v>
      </c>
      <c r="AC290">
        <v>28.312000000000001</v>
      </c>
      <c r="AD290">
        <v>29.114000000000001</v>
      </c>
    </row>
    <row r="291" spans="1:30"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Y291">
        <v>8.6679999999999993</v>
      </c>
      <c r="Z291">
        <v>39.159999999999997</v>
      </c>
      <c r="AA291">
        <v>85.221000000000004</v>
      </c>
      <c r="AB291">
        <v>28.126999999999999</v>
      </c>
      <c r="AC291">
        <v>28.312000000000001</v>
      </c>
      <c r="AD291">
        <v>29.494</v>
      </c>
    </row>
    <row r="292" spans="1:30"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Y292">
        <v>8.6660000000000004</v>
      </c>
      <c r="Z292">
        <v>55.353999999999999</v>
      </c>
      <c r="AA292">
        <v>87.100999999999999</v>
      </c>
      <c r="AB292">
        <v>28.126999999999999</v>
      </c>
      <c r="AC292">
        <v>28.312000000000001</v>
      </c>
      <c r="AD292">
        <v>29.114000000000001</v>
      </c>
    </row>
    <row r="293" spans="1:30"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Y293">
        <v>8.6760000000000002</v>
      </c>
      <c r="Z293">
        <v>69.801000000000002</v>
      </c>
      <c r="AA293">
        <v>78.406000000000006</v>
      </c>
      <c r="AB293">
        <v>28.126999999999999</v>
      </c>
      <c r="AC293">
        <v>28.312000000000001</v>
      </c>
      <c r="AD293">
        <v>29.494</v>
      </c>
    </row>
    <row r="294" spans="1:30"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Y294">
        <v>8.6739999999999995</v>
      </c>
      <c r="Z294">
        <v>82.088999999999999</v>
      </c>
      <c r="AA294">
        <v>70.603999999999999</v>
      </c>
      <c r="AB294">
        <v>28.126999999999999</v>
      </c>
      <c r="AC294">
        <v>28.312000000000001</v>
      </c>
      <c r="AD294">
        <v>29.114000000000001</v>
      </c>
    </row>
    <row r="295" spans="1:30"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Y295">
        <v>8.6839999999999993</v>
      </c>
      <c r="Z295">
        <v>81.007000000000005</v>
      </c>
      <c r="AA295">
        <v>64.432000000000002</v>
      </c>
      <c r="AB295">
        <v>28.126999999999999</v>
      </c>
      <c r="AC295">
        <v>28.312000000000001</v>
      </c>
      <c r="AD295">
        <v>29.494</v>
      </c>
    </row>
    <row r="296" spans="1:30"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Y296">
        <v>8.6809999999999992</v>
      </c>
      <c r="Z296">
        <v>67.081999999999994</v>
      </c>
      <c r="AA296">
        <v>59.817999999999998</v>
      </c>
      <c r="AB296">
        <v>28.126999999999999</v>
      </c>
      <c r="AC296">
        <v>28.312000000000001</v>
      </c>
      <c r="AD296">
        <v>29.114000000000001</v>
      </c>
    </row>
    <row r="297" spans="1:30"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Y297">
        <v>8.6910000000000007</v>
      </c>
      <c r="Z297">
        <v>51.195</v>
      </c>
      <c r="AA297">
        <v>57.018999999999998</v>
      </c>
      <c r="AB297">
        <v>28.126999999999999</v>
      </c>
      <c r="AC297">
        <v>28.312000000000001</v>
      </c>
      <c r="AD297">
        <v>29.494</v>
      </c>
    </row>
    <row r="298" spans="1:30"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Y298">
        <v>8.6880000000000006</v>
      </c>
      <c r="Z298">
        <v>34.658999999999999</v>
      </c>
      <c r="AA298">
        <v>56.52</v>
      </c>
      <c r="AB298">
        <v>28.126999999999999</v>
      </c>
      <c r="AC298">
        <v>28.312000000000001</v>
      </c>
      <c r="AD298">
        <v>29.114000000000001</v>
      </c>
    </row>
    <row r="299" spans="1:30"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Y299">
        <v>8.6980000000000004</v>
      </c>
      <c r="Z299">
        <v>27.811</v>
      </c>
      <c r="AA299">
        <v>58.381</v>
      </c>
      <c r="AB299">
        <v>28.126999999999999</v>
      </c>
      <c r="AC299">
        <v>28.312000000000001</v>
      </c>
      <c r="AD299">
        <v>29.494</v>
      </c>
    </row>
    <row r="300" spans="1:30"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Y300">
        <v>8.6950000000000003</v>
      </c>
      <c r="Z300">
        <v>28.408999999999999</v>
      </c>
      <c r="AA300">
        <v>61.819000000000003</v>
      </c>
      <c r="AB300">
        <v>28.126999999999999</v>
      </c>
      <c r="AC300">
        <v>28.312000000000001</v>
      </c>
      <c r="AD300">
        <v>29.114000000000001</v>
      </c>
    </row>
    <row r="301" spans="1:30"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Y301">
        <v>8.7040000000000006</v>
      </c>
      <c r="Z301">
        <v>36.863999999999997</v>
      </c>
      <c r="AA301">
        <v>67.113</v>
      </c>
      <c r="AB301">
        <v>28.126999999999999</v>
      </c>
      <c r="AC301">
        <v>28.312000000000001</v>
      </c>
      <c r="AD301">
        <v>29.494</v>
      </c>
    </row>
    <row r="302" spans="1:30"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Y302">
        <v>8.7010000000000005</v>
      </c>
      <c r="Z302">
        <v>52.633000000000003</v>
      </c>
      <c r="AA302">
        <v>74.128</v>
      </c>
      <c r="AB302">
        <v>28.126999999999999</v>
      </c>
      <c r="AC302">
        <v>28.312000000000001</v>
      </c>
      <c r="AD302">
        <v>29.114000000000001</v>
      </c>
    </row>
    <row r="303" spans="1:30"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Y303">
        <v>8.7100000000000009</v>
      </c>
      <c r="Z303">
        <v>67.156000000000006</v>
      </c>
      <c r="AA303">
        <v>90.218999999999994</v>
      </c>
      <c r="AB303">
        <v>28.126999999999999</v>
      </c>
      <c r="AC303">
        <v>28.312000000000001</v>
      </c>
      <c r="AD303">
        <v>29.494</v>
      </c>
    </row>
    <row r="304" spans="1:30"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Y304">
        <v>9.5419999999999998</v>
      </c>
      <c r="Z304">
        <v>79.486999999999995</v>
      </c>
      <c r="AA304">
        <v>86.38</v>
      </c>
      <c r="AB304">
        <v>28.126999999999999</v>
      </c>
      <c r="AC304">
        <v>28.312000000000001</v>
      </c>
      <c r="AD304">
        <v>29.114000000000001</v>
      </c>
    </row>
    <row r="305" spans="1:30"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Y305">
        <v>9.5399999999999991</v>
      </c>
      <c r="Z305">
        <v>76.816000000000003</v>
      </c>
      <c r="AA305">
        <v>87.652000000000001</v>
      </c>
      <c r="AB305">
        <v>28.126999999999999</v>
      </c>
      <c r="AC305">
        <v>28.312000000000001</v>
      </c>
      <c r="AD305">
        <v>29.494</v>
      </c>
    </row>
    <row r="306" spans="1:30"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Y306">
        <v>9.5879999999999992</v>
      </c>
      <c r="Z306">
        <v>65.173000000000002</v>
      </c>
      <c r="AA306">
        <v>86.57</v>
      </c>
      <c r="AB306">
        <v>28.126999999999999</v>
      </c>
      <c r="AC306">
        <v>28.312000000000001</v>
      </c>
      <c r="AD306">
        <v>29.114000000000001</v>
      </c>
    </row>
    <row r="307" spans="1:30"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Y307">
        <v>9.5920000000000005</v>
      </c>
      <c r="Z307">
        <v>51.521000000000001</v>
      </c>
      <c r="AA307">
        <v>79.182000000000002</v>
      </c>
      <c r="AB307">
        <v>28.126999999999999</v>
      </c>
      <c r="AC307">
        <v>28.312000000000001</v>
      </c>
      <c r="AD307">
        <v>29.494</v>
      </c>
    </row>
    <row r="308" spans="1:30"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Y308">
        <v>9.6140000000000008</v>
      </c>
      <c r="Z308">
        <v>36.36</v>
      </c>
      <c r="AA308">
        <v>71.021000000000001</v>
      </c>
      <c r="AB308">
        <v>28.126999999999999</v>
      </c>
      <c r="AC308">
        <v>28.312000000000001</v>
      </c>
      <c r="AD308">
        <v>29.114000000000001</v>
      </c>
    </row>
    <row r="309" spans="1:30"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Y309">
        <v>9.6069999999999993</v>
      </c>
      <c r="Z309">
        <v>27.844000000000001</v>
      </c>
      <c r="AA309">
        <v>65.203999999999994</v>
      </c>
      <c r="AB309">
        <v>28.126999999999999</v>
      </c>
      <c r="AC309">
        <v>28.312000000000001</v>
      </c>
      <c r="AD309">
        <v>29.494</v>
      </c>
    </row>
    <row r="310" spans="1:30"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Y310">
        <v>9.6530000000000005</v>
      </c>
      <c r="Z310">
        <v>27.937000000000001</v>
      </c>
      <c r="AA310">
        <v>60.683</v>
      </c>
      <c r="AB310">
        <v>28.126999999999999</v>
      </c>
      <c r="AC310">
        <v>28.312000000000001</v>
      </c>
      <c r="AD310">
        <v>29.114000000000001</v>
      </c>
    </row>
    <row r="311" spans="1:30"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Y311">
        <v>9.9209999999999994</v>
      </c>
      <c r="Z311">
        <v>36.343000000000004</v>
      </c>
      <c r="AA311">
        <v>57.704000000000001</v>
      </c>
      <c r="AB311">
        <v>28.126999999999999</v>
      </c>
      <c r="AC311">
        <v>28.312000000000001</v>
      </c>
      <c r="AD311">
        <v>29.494</v>
      </c>
    </row>
    <row r="312" spans="1:30"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Y312">
        <v>9.9269999999999996</v>
      </c>
      <c r="Z312">
        <v>50.588000000000001</v>
      </c>
      <c r="AA312">
        <v>56.701000000000001</v>
      </c>
      <c r="AB312">
        <v>28.126999999999999</v>
      </c>
      <c r="AC312">
        <v>28.312000000000001</v>
      </c>
      <c r="AD312">
        <v>29.114000000000001</v>
      </c>
    </row>
    <row r="313" spans="1:30"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Y313">
        <v>9.9369999999999994</v>
      </c>
      <c r="Z313">
        <v>65.516000000000005</v>
      </c>
      <c r="AA313">
        <v>58.110999999999997</v>
      </c>
      <c r="AB313">
        <v>28.126999999999999</v>
      </c>
      <c r="AC313">
        <v>28.312000000000001</v>
      </c>
      <c r="AD313">
        <v>29.494</v>
      </c>
    </row>
    <row r="314" spans="1:30"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Y314">
        <v>9.9649999999999999</v>
      </c>
      <c r="Z314">
        <v>78.742000000000004</v>
      </c>
      <c r="AA314">
        <v>60.872</v>
      </c>
      <c r="AB314">
        <v>28.126999999999999</v>
      </c>
      <c r="AC314">
        <v>28.312000000000001</v>
      </c>
      <c r="AD314">
        <v>29.114000000000001</v>
      </c>
    </row>
    <row r="315" spans="1:30"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Y315">
        <v>10.007</v>
      </c>
      <c r="Z315">
        <v>85.188999999999993</v>
      </c>
      <c r="AA315">
        <v>65.352999999999994</v>
      </c>
      <c r="AB315">
        <v>28.126999999999999</v>
      </c>
      <c r="AC315">
        <v>28.312000000000001</v>
      </c>
      <c r="AD315">
        <v>29.494</v>
      </c>
    </row>
    <row r="316" spans="1:30"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Y316">
        <v>10.127000000000001</v>
      </c>
      <c r="Z316">
        <v>71</v>
      </c>
      <c r="AA316">
        <v>71.623000000000005</v>
      </c>
      <c r="AB316">
        <v>28.126999999999999</v>
      </c>
      <c r="AC316">
        <v>28.312000000000001</v>
      </c>
      <c r="AD316">
        <v>29.114000000000001</v>
      </c>
    </row>
    <row r="317" spans="1:30"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Y317">
        <v>10.17</v>
      </c>
      <c r="Z317">
        <v>55.901000000000003</v>
      </c>
      <c r="AA317">
        <v>83.975999999999999</v>
      </c>
      <c r="AB317">
        <v>28.126999999999999</v>
      </c>
      <c r="AC317">
        <v>28.312000000000001</v>
      </c>
      <c r="AD317">
        <v>29.494</v>
      </c>
    </row>
    <row r="318" spans="1:30"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Y318">
        <v>10.170999999999999</v>
      </c>
      <c r="Z318">
        <v>39.255000000000003</v>
      </c>
      <c r="AA318">
        <v>86.375</v>
      </c>
      <c r="AB318">
        <v>28.126999999999999</v>
      </c>
      <c r="AC318">
        <v>28.312000000000001</v>
      </c>
      <c r="AD318">
        <v>29.114000000000001</v>
      </c>
    </row>
    <row r="319" spans="1:30"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Y319">
        <v>10.170999999999999</v>
      </c>
      <c r="Z319">
        <v>32.67</v>
      </c>
      <c r="AA319">
        <v>90.346000000000004</v>
      </c>
      <c r="AB319">
        <v>28.126999999999999</v>
      </c>
      <c r="AC319">
        <v>28.312000000000001</v>
      </c>
      <c r="AD319">
        <v>29.494</v>
      </c>
    </row>
    <row r="320" spans="1:30"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Y320">
        <v>10.211</v>
      </c>
      <c r="Z320">
        <v>27.725000000000001</v>
      </c>
      <c r="AA320">
        <v>86.843000000000004</v>
      </c>
      <c r="AB320">
        <v>28.126999999999999</v>
      </c>
      <c r="AC320">
        <v>28.312000000000001</v>
      </c>
      <c r="AD320">
        <v>29.114000000000001</v>
      </c>
    </row>
    <row r="321" spans="1:30"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Y321">
        <v>10.144</v>
      </c>
      <c r="Z321">
        <v>31.704000000000001</v>
      </c>
      <c r="AA321">
        <v>89.353999999999999</v>
      </c>
      <c r="AB321">
        <v>28.126999999999999</v>
      </c>
      <c r="AC321">
        <v>28.312000000000001</v>
      </c>
      <c r="AD321">
        <v>29.494</v>
      </c>
    </row>
    <row r="322" spans="1:30"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Y322">
        <v>10.151999999999999</v>
      </c>
      <c r="Z322">
        <v>47.738</v>
      </c>
      <c r="AA322">
        <v>73.415000000000006</v>
      </c>
      <c r="AB322">
        <v>28.126999999999999</v>
      </c>
      <c r="AC322">
        <v>28.312000000000001</v>
      </c>
      <c r="AD322">
        <v>29.114000000000001</v>
      </c>
    </row>
    <row r="323" spans="1:30"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Y323">
        <v>10.16</v>
      </c>
      <c r="Z323">
        <v>63.055999999999997</v>
      </c>
      <c r="AA323">
        <v>66.302000000000007</v>
      </c>
      <c r="AB323">
        <v>28.126999999999999</v>
      </c>
      <c r="AC323">
        <v>28.312000000000001</v>
      </c>
      <c r="AD323">
        <v>29.494</v>
      </c>
    </row>
    <row r="324" spans="1:30"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Y324">
        <v>10.194000000000001</v>
      </c>
      <c r="Z324">
        <v>75.747</v>
      </c>
      <c r="AA324">
        <v>61.23</v>
      </c>
      <c r="AB324">
        <v>28.126999999999999</v>
      </c>
      <c r="AC324">
        <v>28.312000000000001</v>
      </c>
      <c r="AD324">
        <v>29.114000000000001</v>
      </c>
    </row>
    <row r="325" spans="1:30"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Y325">
        <v>10.17</v>
      </c>
      <c r="Z325">
        <v>79.981999999999999</v>
      </c>
      <c r="AA325">
        <v>57.94</v>
      </c>
      <c r="AB325">
        <v>28.126999999999999</v>
      </c>
      <c r="AC325">
        <v>28.312000000000001</v>
      </c>
      <c r="AD325">
        <v>29.494</v>
      </c>
    </row>
    <row r="326" spans="1:30"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Y326">
        <v>10.202999999999999</v>
      </c>
      <c r="Z326">
        <v>68.778000000000006</v>
      </c>
      <c r="AA326">
        <v>56.188000000000002</v>
      </c>
      <c r="AB326">
        <v>28.126999999999999</v>
      </c>
      <c r="AC326">
        <v>28.312000000000001</v>
      </c>
      <c r="AD326">
        <v>29.114000000000001</v>
      </c>
    </row>
    <row r="327" spans="1:30"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Y327">
        <v>10.177</v>
      </c>
      <c r="Z327">
        <v>55.767000000000003</v>
      </c>
      <c r="AA327">
        <v>57.389000000000003</v>
      </c>
      <c r="AB327">
        <v>28.126999999999999</v>
      </c>
      <c r="AC327">
        <v>28.312000000000001</v>
      </c>
      <c r="AD327">
        <v>29.494</v>
      </c>
    </row>
    <row r="328" spans="1:30"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Y328">
        <v>10.105</v>
      </c>
      <c r="Z328">
        <v>41.311</v>
      </c>
      <c r="AA328">
        <v>60.39</v>
      </c>
      <c r="AB328">
        <v>28.126999999999999</v>
      </c>
      <c r="AC328">
        <v>28.312000000000001</v>
      </c>
      <c r="AD328">
        <v>29.114000000000001</v>
      </c>
    </row>
    <row r="329" spans="1:30"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Y329">
        <v>10.098000000000001</v>
      </c>
      <c r="Z329">
        <v>35.976999999999997</v>
      </c>
      <c r="AA329">
        <v>65.218000000000004</v>
      </c>
      <c r="AB329">
        <v>28.126999999999999</v>
      </c>
      <c r="AC329">
        <v>28.312000000000001</v>
      </c>
      <c r="AD329">
        <v>29.494</v>
      </c>
    </row>
    <row r="330" spans="1:30"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Y330">
        <v>10.082000000000001</v>
      </c>
      <c r="Z330">
        <v>27.564</v>
      </c>
      <c r="AA330">
        <v>71.379000000000005</v>
      </c>
      <c r="AB330">
        <v>28.126999999999999</v>
      </c>
      <c r="AC330">
        <v>28.312000000000001</v>
      </c>
      <c r="AD330">
        <v>29.114000000000001</v>
      </c>
    </row>
    <row r="331" spans="1:30"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Y331">
        <v>10.064</v>
      </c>
      <c r="Z331">
        <v>36.017000000000003</v>
      </c>
      <c r="AA331">
        <v>78.625</v>
      </c>
      <c r="AB331">
        <v>28.126999999999999</v>
      </c>
      <c r="AC331">
        <v>28.312000000000001</v>
      </c>
      <c r="AD331">
        <v>29.494</v>
      </c>
    </row>
    <row r="332" spans="1:30"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Y332">
        <v>10.053000000000001</v>
      </c>
      <c r="Z332">
        <v>46.191000000000003</v>
      </c>
      <c r="AA332">
        <v>86.927000000000007</v>
      </c>
      <c r="AB332">
        <v>28.126999999999999</v>
      </c>
      <c r="AC332">
        <v>28.312000000000001</v>
      </c>
      <c r="AD332">
        <v>29.114000000000001</v>
      </c>
    </row>
    <row r="333" spans="1:30"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Y333">
        <v>10.023999999999999</v>
      </c>
      <c r="Z333">
        <v>61.01</v>
      </c>
      <c r="AA333">
        <v>85.864000000000004</v>
      </c>
      <c r="AB333">
        <v>28.126999999999999</v>
      </c>
      <c r="AC333">
        <v>28.312000000000001</v>
      </c>
      <c r="AD333">
        <v>29.494</v>
      </c>
    </row>
    <row r="334" spans="1:30"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Y334">
        <v>10.002000000000001</v>
      </c>
      <c r="Z334">
        <v>75.141000000000005</v>
      </c>
      <c r="AA334">
        <v>85.674999999999997</v>
      </c>
      <c r="AB334">
        <v>28.126999999999999</v>
      </c>
      <c r="AC334">
        <v>28.312000000000001</v>
      </c>
      <c r="AD334">
        <v>29.114000000000001</v>
      </c>
    </row>
    <row r="335" spans="1:30"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Y335">
        <v>10.006</v>
      </c>
      <c r="Z335">
        <v>79.820999999999998</v>
      </c>
      <c r="AA335">
        <v>89.072999999999993</v>
      </c>
      <c r="AB335">
        <v>28.126999999999999</v>
      </c>
      <c r="AC335">
        <v>28.312000000000001</v>
      </c>
      <c r="AD335">
        <v>29.494</v>
      </c>
    </row>
    <row r="336" spans="1:30"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Y336">
        <v>9.94</v>
      </c>
      <c r="Z336">
        <v>75.646000000000001</v>
      </c>
      <c r="AA336">
        <v>73.989999999999995</v>
      </c>
      <c r="AB336">
        <v>28.126999999999999</v>
      </c>
      <c r="AC336">
        <v>28.312000000000001</v>
      </c>
      <c r="AD336">
        <v>29.114000000000001</v>
      </c>
    </row>
    <row r="337" spans="1:30"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Y337">
        <v>9.9209999999999994</v>
      </c>
      <c r="Z337">
        <v>60.984000000000002</v>
      </c>
      <c r="AA337">
        <v>67.218000000000004</v>
      </c>
      <c r="AB337">
        <v>28.126999999999999</v>
      </c>
      <c r="AC337">
        <v>28.312000000000001</v>
      </c>
      <c r="AD337">
        <v>29.494</v>
      </c>
    </row>
    <row r="338" spans="1:30"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Y338">
        <v>9.8829999999999991</v>
      </c>
      <c r="Z338">
        <v>44.412999999999997</v>
      </c>
      <c r="AA338">
        <v>62.008000000000003</v>
      </c>
      <c r="AB338">
        <v>28.126999999999999</v>
      </c>
      <c r="AC338">
        <v>28.312000000000001</v>
      </c>
      <c r="AD338">
        <v>29.114000000000001</v>
      </c>
    </row>
    <row r="339" spans="1:30"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Y339">
        <v>9.8529999999999998</v>
      </c>
      <c r="Z339">
        <v>39.884999999999998</v>
      </c>
      <c r="AA339">
        <v>58.908000000000001</v>
      </c>
      <c r="AB339">
        <v>28.126999999999999</v>
      </c>
      <c r="AC339">
        <v>28.312000000000001</v>
      </c>
      <c r="AD339">
        <v>29.494</v>
      </c>
    </row>
    <row r="340" spans="1:30"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Y340">
        <v>9.8209999999999997</v>
      </c>
      <c r="Z340">
        <v>27.523</v>
      </c>
      <c r="AA340">
        <v>56.970999999999997</v>
      </c>
      <c r="AB340">
        <v>28.126999999999999</v>
      </c>
      <c r="AC340">
        <v>28.312000000000001</v>
      </c>
      <c r="AD340">
        <v>29.114000000000001</v>
      </c>
    </row>
    <row r="341" spans="1:30"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Y341">
        <v>9.7520000000000007</v>
      </c>
      <c r="Z341">
        <v>38.601999999999997</v>
      </c>
      <c r="AA341">
        <v>57.186999999999998</v>
      </c>
      <c r="AB341">
        <v>28.126999999999999</v>
      </c>
      <c r="AC341">
        <v>28.312000000000001</v>
      </c>
      <c r="AD341">
        <v>29.494</v>
      </c>
    </row>
    <row r="342" spans="1:30"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Y342">
        <v>9.7010000000000005</v>
      </c>
      <c r="Z342">
        <v>43.174999999999997</v>
      </c>
      <c r="AA342">
        <v>59.755000000000003</v>
      </c>
      <c r="AB342">
        <v>28.126999999999999</v>
      </c>
      <c r="AC342">
        <v>28.312000000000001</v>
      </c>
      <c r="AD342">
        <v>29.114000000000001</v>
      </c>
    </row>
    <row r="343" spans="1:30"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Y343">
        <v>9.6509999999999998</v>
      </c>
      <c r="Z343">
        <v>58.878</v>
      </c>
      <c r="AA343">
        <v>63.877000000000002</v>
      </c>
      <c r="AB343">
        <v>28.126999999999999</v>
      </c>
      <c r="AC343">
        <v>28.312000000000001</v>
      </c>
      <c r="AD343">
        <v>29.494</v>
      </c>
    </row>
    <row r="344" spans="1:30"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Y344">
        <v>9.6080000000000005</v>
      </c>
      <c r="Z344">
        <v>71.912000000000006</v>
      </c>
      <c r="AA344">
        <v>69.212999999999994</v>
      </c>
      <c r="AB344">
        <v>28.126999999999999</v>
      </c>
      <c r="AC344">
        <v>28.312000000000001</v>
      </c>
      <c r="AD344">
        <v>29.114000000000001</v>
      </c>
    </row>
    <row r="345" spans="1:30"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Y345">
        <v>9.5489999999999995</v>
      </c>
      <c r="Z345">
        <v>81.076999999999998</v>
      </c>
      <c r="AA345">
        <v>77.447000000000003</v>
      </c>
      <c r="AB345">
        <v>28.126999999999999</v>
      </c>
      <c r="AC345">
        <v>28.312000000000001</v>
      </c>
      <c r="AD345">
        <v>29.494</v>
      </c>
    </row>
    <row r="346" spans="1:30"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Y346">
        <v>9.4930000000000003</v>
      </c>
      <c r="Z346">
        <v>72.427000000000007</v>
      </c>
      <c r="AA346">
        <v>87.299000000000007</v>
      </c>
      <c r="AB346">
        <v>28.126999999999999</v>
      </c>
      <c r="AC346">
        <v>28.312000000000001</v>
      </c>
      <c r="AD346">
        <v>29.114000000000001</v>
      </c>
    </row>
    <row r="347" spans="1:30"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Y347">
        <v>9.4570000000000007</v>
      </c>
      <c r="Z347">
        <v>59.814999999999998</v>
      </c>
      <c r="AA347">
        <v>84.322000000000003</v>
      </c>
      <c r="AB347">
        <v>28.126999999999999</v>
      </c>
      <c r="AC347">
        <v>28.312000000000001</v>
      </c>
      <c r="AD347">
        <v>29.494</v>
      </c>
    </row>
    <row r="348" spans="1:30"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Y348">
        <v>9.36</v>
      </c>
      <c r="Z348">
        <v>45.802999999999997</v>
      </c>
      <c r="AA348">
        <v>84.73</v>
      </c>
      <c r="AB348">
        <v>28.126999999999999</v>
      </c>
      <c r="AC348">
        <v>28.312000000000001</v>
      </c>
      <c r="AD348">
        <v>29.114000000000001</v>
      </c>
    </row>
    <row r="349" spans="1:30"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Y349">
        <v>9.3019999999999996</v>
      </c>
      <c r="Z349">
        <v>36.186</v>
      </c>
      <c r="AA349">
        <v>88.506</v>
      </c>
      <c r="AB349">
        <v>28.126999999999999</v>
      </c>
      <c r="AC349">
        <v>28.312000000000001</v>
      </c>
      <c r="AD349">
        <v>29.494</v>
      </c>
    </row>
    <row r="350" spans="1:30"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Y350">
        <v>9.2850000000000001</v>
      </c>
      <c r="Z350">
        <v>27.530999999999999</v>
      </c>
      <c r="AA350">
        <v>76.236000000000004</v>
      </c>
      <c r="AB350">
        <v>28.126999999999999</v>
      </c>
      <c r="AC350">
        <v>28.312000000000001</v>
      </c>
      <c r="AD350">
        <v>29.114000000000001</v>
      </c>
    </row>
    <row r="351" spans="1:30"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Y351">
        <v>9.2750000000000004</v>
      </c>
      <c r="Z351">
        <v>35.58</v>
      </c>
      <c r="AA351">
        <v>68.864999999999995</v>
      </c>
      <c r="AB351">
        <v>28.126999999999999</v>
      </c>
      <c r="AC351">
        <v>28.312000000000001</v>
      </c>
      <c r="AD351">
        <v>29.494</v>
      </c>
    </row>
    <row r="352" spans="1:30"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Y352">
        <v>9.2509999999999994</v>
      </c>
      <c r="Z352">
        <v>40.850999999999999</v>
      </c>
      <c r="AA352">
        <v>63.142000000000003</v>
      </c>
      <c r="AB352">
        <v>28.126999999999999</v>
      </c>
      <c r="AC352">
        <v>28.312000000000001</v>
      </c>
      <c r="AD352">
        <v>29.114000000000001</v>
      </c>
    </row>
    <row r="353" spans="1:30"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Y353">
        <v>9.1769999999999996</v>
      </c>
      <c r="Z353">
        <v>56.447000000000003</v>
      </c>
      <c r="AA353">
        <v>59.148000000000003</v>
      </c>
      <c r="AB353">
        <v>28.126999999999999</v>
      </c>
      <c r="AC353">
        <v>28.312000000000001</v>
      </c>
      <c r="AD353">
        <v>29.494</v>
      </c>
    </row>
    <row r="354" spans="1:30"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Y354">
        <v>9.0259999999999998</v>
      </c>
      <c r="Z354">
        <v>70.804000000000002</v>
      </c>
      <c r="AA354">
        <v>56.856000000000002</v>
      </c>
      <c r="AB354">
        <v>28.126999999999999</v>
      </c>
      <c r="AC354">
        <v>28.312000000000001</v>
      </c>
      <c r="AD354">
        <v>29.114000000000001</v>
      </c>
    </row>
    <row r="355" spans="1:30"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Y355">
        <v>9.1839999999999993</v>
      </c>
      <c r="Z355">
        <v>83.369</v>
      </c>
      <c r="AA355">
        <v>56.576999999999998</v>
      </c>
      <c r="AB355">
        <v>28.126999999999999</v>
      </c>
      <c r="AC355">
        <v>28.312000000000001</v>
      </c>
      <c r="AD355">
        <v>29.494</v>
      </c>
    </row>
    <row r="356" spans="1:30"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Y356">
        <v>9.2710000000000008</v>
      </c>
      <c r="Z356">
        <v>79.272999999999996</v>
      </c>
      <c r="AA356">
        <v>58.892000000000003</v>
      </c>
      <c r="AB356">
        <v>28.126999999999999</v>
      </c>
      <c r="AC356">
        <v>28.312000000000001</v>
      </c>
      <c r="AD356">
        <v>29.114000000000001</v>
      </c>
    </row>
    <row r="357" spans="1:30"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Y357">
        <v>9.3320000000000007</v>
      </c>
      <c r="Z357">
        <v>65.248000000000005</v>
      </c>
      <c r="AA357">
        <v>62.84</v>
      </c>
      <c r="AB357">
        <v>28.126999999999999</v>
      </c>
      <c r="AC357">
        <v>28.312000000000001</v>
      </c>
      <c r="AD357">
        <v>29.494</v>
      </c>
    </row>
    <row r="358" spans="1:30"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Y358">
        <v>9.3780000000000001</v>
      </c>
      <c r="Z358">
        <v>49.502000000000002</v>
      </c>
      <c r="AA358">
        <v>68.783000000000001</v>
      </c>
      <c r="AB358">
        <v>28.126999999999999</v>
      </c>
      <c r="AC358">
        <v>28.312000000000001</v>
      </c>
      <c r="AD358">
        <v>29.114000000000001</v>
      </c>
    </row>
    <row r="359" spans="1:30"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Y359">
        <v>9.4459999999999997</v>
      </c>
      <c r="Z359">
        <v>32.543999999999997</v>
      </c>
      <c r="AA359">
        <v>76.147000000000006</v>
      </c>
      <c r="AB359">
        <v>28.126999999999999</v>
      </c>
      <c r="AC359">
        <v>28.312000000000001</v>
      </c>
      <c r="AD359">
        <v>29.494</v>
      </c>
    </row>
    <row r="360" spans="1:30"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Y360">
        <v>9.5169999999999995</v>
      </c>
      <c r="Z360">
        <v>27.67</v>
      </c>
      <c r="AA360">
        <v>88.563999999999993</v>
      </c>
      <c r="AB360">
        <v>28.126999999999999</v>
      </c>
      <c r="AC360">
        <v>28.312000000000001</v>
      </c>
      <c r="AD360">
        <v>29.114000000000001</v>
      </c>
    </row>
    <row r="361" spans="1:30"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Y361">
        <v>9.6489999999999991</v>
      </c>
      <c r="Z361">
        <v>30.911000000000001</v>
      </c>
      <c r="AA361">
        <v>84.82</v>
      </c>
      <c r="AB361">
        <v>28.126999999999999</v>
      </c>
      <c r="AC361">
        <v>28.312000000000001</v>
      </c>
      <c r="AD361">
        <v>29.494</v>
      </c>
    </row>
    <row r="362" spans="1:30"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Y362">
        <v>9.7080000000000002</v>
      </c>
      <c r="Z362">
        <v>37.947000000000003</v>
      </c>
      <c r="AA362">
        <v>84.349000000000004</v>
      </c>
      <c r="AB362">
        <v>28.126999999999999</v>
      </c>
      <c r="AC362">
        <v>28.312000000000001</v>
      </c>
      <c r="AD362">
        <v>29.114000000000001</v>
      </c>
    </row>
    <row r="363" spans="1:30"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Y363">
        <v>9.7609999999999992</v>
      </c>
      <c r="Z363">
        <v>54.404000000000003</v>
      </c>
      <c r="AA363">
        <v>87.44</v>
      </c>
      <c r="AB363">
        <v>28.126999999999999</v>
      </c>
      <c r="AC363">
        <v>28.312000000000001</v>
      </c>
      <c r="AD363">
        <v>29.494</v>
      </c>
    </row>
    <row r="364" spans="1:30"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Y364">
        <v>9.8209999999999997</v>
      </c>
      <c r="Z364">
        <v>68.274000000000001</v>
      </c>
      <c r="AA364">
        <v>77.599999999999994</v>
      </c>
      <c r="AB364">
        <v>28.126999999999999</v>
      </c>
      <c r="AC364">
        <v>28.312000000000001</v>
      </c>
      <c r="AD364">
        <v>29.114000000000001</v>
      </c>
    </row>
    <row r="365" spans="1:30"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Y365">
        <v>9.8650000000000002</v>
      </c>
      <c r="Z365">
        <v>80.945999999999998</v>
      </c>
      <c r="AA365">
        <v>69.221000000000004</v>
      </c>
      <c r="AB365">
        <v>28.126999999999999</v>
      </c>
      <c r="AC365">
        <v>28.312000000000001</v>
      </c>
      <c r="AD365">
        <v>29.494</v>
      </c>
    </row>
    <row r="366" spans="1:30"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Y366">
        <v>10.468999999999999</v>
      </c>
      <c r="Z366">
        <v>75.566999999999993</v>
      </c>
      <c r="AA366">
        <v>63.703000000000003</v>
      </c>
      <c r="AB366">
        <v>28.126999999999999</v>
      </c>
      <c r="AC366">
        <v>28.312000000000001</v>
      </c>
      <c r="AD366">
        <v>29.114000000000001</v>
      </c>
    </row>
    <row r="367" spans="1:30"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Y367">
        <v>10.531000000000001</v>
      </c>
      <c r="Z367">
        <v>63.887</v>
      </c>
      <c r="AA367">
        <v>59.615000000000002</v>
      </c>
      <c r="AB367">
        <v>28.126999999999999</v>
      </c>
      <c r="AC367">
        <v>28.312000000000001</v>
      </c>
      <c r="AD367">
        <v>29.494</v>
      </c>
    </row>
    <row r="368" spans="1:30"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Y368">
        <v>10.584</v>
      </c>
      <c r="Z368">
        <v>50.363999999999997</v>
      </c>
      <c r="AA368">
        <v>57.171999999999997</v>
      </c>
      <c r="AB368">
        <v>28.126999999999999</v>
      </c>
      <c r="AC368">
        <v>28.312000000000001</v>
      </c>
      <c r="AD368">
        <v>29.114000000000001</v>
      </c>
    </row>
    <row r="369" spans="1:30"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Y369">
        <v>10.693</v>
      </c>
      <c r="Z369">
        <v>36.942999999999998</v>
      </c>
      <c r="AA369">
        <v>56.866</v>
      </c>
      <c r="AB369">
        <v>28.126999999999999</v>
      </c>
      <c r="AC369">
        <v>28.312000000000001</v>
      </c>
      <c r="AD369">
        <v>29.494</v>
      </c>
    </row>
    <row r="370" spans="1:30"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Y370">
        <v>10.696999999999999</v>
      </c>
      <c r="Z370">
        <v>27.582000000000001</v>
      </c>
      <c r="AA370">
        <v>58.811</v>
      </c>
      <c r="AB370">
        <v>28.126999999999999</v>
      </c>
      <c r="AC370">
        <v>28.312000000000001</v>
      </c>
      <c r="AD370">
        <v>29.114000000000001</v>
      </c>
    </row>
    <row r="371" spans="1:30"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Y371">
        <v>10.77</v>
      </c>
      <c r="Z371">
        <v>27.898</v>
      </c>
      <c r="AA371">
        <v>62.19</v>
      </c>
      <c r="AB371">
        <v>28.126999999999999</v>
      </c>
      <c r="AC371">
        <v>28.312000000000001</v>
      </c>
      <c r="AD371">
        <v>29.494</v>
      </c>
    </row>
    <row r="372" spans="1:30"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Y372">
        <v>10.927</v>
      </c>
      <c r="Z372">
        <v>36.006</v>
      </c>
      <c r="AA372">
        <v>67.322000000000003</v>
      </c>
      <c r="AB372">
        <v>28.126999999999999</v>
      </c>
      <c r="AC372">
        <v>28.312000000000001</v>
      </c>
      <c r="AD372">
        <v>29.114000000000001</v>
      </c>
    </row>
    <row r="373" spans="1:30"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Y373">
        <v>11.047000000000001</v>
      </c>
      <c r="Z373">
        <v>52.326000000000001</v>
      </c>
      <c r="AA373">
        <v>74.293000000000006</v>
      </c>
      <c r="AB373">
        <v>28.126999999999999</v>
      </c>
      <c r="AC373">
        <v>28.312000000000001</v>
      </c>
      <c r="AD373">
        <v>29.494</v>
      </c>
    </row>
    <row r="374" spans="1:30"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Y374">
        <v>11.064</v>
      </c>
      <c r="Z374">
        <v>67.099999999999994</v>
      </c>
      <c r="AA374">
        <v>89.12</v>
      </c>
      <c r="AB374">
        <v>28.126999999999999</v>
      </c>
      <c r="AC374">
        <v>28.312000000000001</v>
      </c>
      <c r="AD374">
        <v>29.114000000000001</v>
      </c>
    </row>
    <row r="375" spans="1:30"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Y375">
        <v>11.131</v>
      </c>
      <c r="Z375">
        <v>79.918999999999997</v>
      </c>
      <c r="AA375">
        <v>85.504999999999995</v>
      </c>
      <c r="AB375">
        <v>28.126999999999999</v>
      </c>
      <c r="AC375">
        <v>28.312000000000001</v>
      </c>
      <c r="AD375">
        <v>29.494</v>
      </c>
    </row>
    <row r="376" spans="1:30"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Y376">
        <v>11.199</v>
      </c>
      <c r="Z376">
        <v>83.975999999999999</v>
      </c>
      <c r="AA376">
        <v>86.082999999999998</v>
      </c>
      <c r="AB376">
        <v>28.126999999999999</v>
      </c>
      <c r="AC376">
        <v>28.312000000000001</v>
      </c>
      <c r="AD376">
        <v>29.114000000000001</v>
      </c>
    </row>
    <row r="377" spans="1:30"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Y377">
        <v>11.266</v>
      </c>
      <c r="Z377">
        <v>69.957999999999998</v>
      </c>
      <c r="AA377">
        <v>87.046000000000006</v>
      </c>
      <c r="AB377">
        <v>28.126999999999999</v>
      </c>
      <c r="AC377">
        <v>28.312000000000001</v>
      </c>
      <c r="AD377">
        <v>29.494</v>
      </c>
    </row>
    <row r="378" spans="1:30"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Y378">
        <v>11.43</v>
      </c>
      <c r="Z378">
        <v>54.366999999999997</v>
      </c>
      <c r="AA378">
        <v>78.513000000000005</v>
      </c>
      <c r="AB378">
        <v>28.126999999999999</v>
      </c>
      <c r="AC378">
        <v>28.312000000000001</v>
      </c>
      <c r="AD378">
        <v>29.114000000000001</v>
      </c>
    </row>
    <row r="379" spans="1:30"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Y379">
        <v>11.352</v>
      </c>
      <c r="Z379">
        <v>37.427999999999997</v>
      </c>
      <c r="AA379">
        <v>71.093000000000004</v>
      </c>
      <c r="AB379">
        <v>28.126999999999999</v>
      </c>
      <c r="AC379">
        <v>28.312000000000001</v>
      </c>
      <c r="AD379">
        <v>29.494</v>
      </c>
    </row>
    <row r="380" spans="1:30"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Y380">
        <v>11.172000000000001</v>
      </c>
      <c r="Z380">
        <v>29.277000000000001</v>
      </c>
      <c r="AA380">
        <v>64.888000000000005</v>
      </c>
      <c r="AB380">
        <v>28.126999999999999</v>
      </c>
      <c r="AC380">
        <v>28.312000000000001</v>
      </c>
      <c r="AD380">
        <v>29.114000000000001</v>
      </c>
    </row>
    <row r="381" spans="1:30"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Y381">
        <v>11.317</v>
      </c>
      <c r="Z381">
        <v>29.356000000000002</v>
      </c>
      <c r="AA381">
        <v>60.107999999999997</v>
      </c>
      <c r="AB381">
        <v>28.126999999999999</v>
      </c>
      <c r="AC381">
        <v>28.312000000000001</v>
      </c>
      <c r="AD381">
        <v>29.494</v>
      </c>
    </row>
    <row r="382" spans="1:30"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Y382">
        <v>15.742000000000001</v>
      </c>
      <c r="Z382">
        <v>33.439</v>
      </c>
      <c r="AA382">
        <v>57.136000000000003</v>
      </c>
      <c r="AB382">
        <v>28.126999999999999</v>
      </c>
      <c r="AC382">
        <v>28.312000000000001</v>
      </c>
      <c r="AD382">
        <v>29.114000000000001</v>
      </c>
    </row>
    <row r="383" spans="1:30"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Y383">
        <v>16.48</v>
      </c>
      <c r="Z383">
        <v>49.420999999999999</v>
      </c>
      <c r="AA383">
        <v>56.405000000000001</v>
      </c>
      <c r="AB383">
        <v>28.126999999999999</v>
      </c>
      <c r="AC383">
        <v>28.312000000000001</v>
      </c>
      <c r="AD383">
        <v>29.494</v>
      </c>
    </row>
    <row r="384" spans="1:30"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Y384">
        <v>16.731999999999999</v>
      </c>
      <c r="Z384">
        <v>64.405000000000001</v>
      </c>
      <c r="AA384">
        <v>58.218000000000004</v>
      </c>
      <c r="AB384">
        <v>28.126999999999999</v>
      </c>
      <c r="AC384">
        <v>28.312000000000001</v>
      </c>
      <c r="AD384">
        <v>29.114000000000001</v>
      </c>
    </row>
    <row r="385" spans="1:30"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Y385">
        <v>17.074000000000002</v>
      </c>
      <c r="Z385">
        <v>76.759</v>
      </c>
      <c r="AA385">
        <v>61.527000000000001</v>
      </c>
      <c r="AB385">
        <v>28.126999999999999</v>
      </c>
      <c r="AC385">
        <v>28.312000000000001</v>
      </c>
      <c r="AD385">
        <v>29.494</v>
      </c>
    </row>
    <row r="386" spans="1:30"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Y386">
        <v>17.488</v>
      </c>
      <c r="Z386">
        <v>78.757999999999996</v>
      </c>
      <c r="AA386">
        <v>66.593000000000004</v>
      </c>
      <c r="AB386">
        <v>28.126999999999999</v>
      </c>
      <c r="AC386">
        <v>28.312000000000001</v>
      </c>
      <c r="AD386">
        <v>29.114000000000001</v>
      </c>
    </row>
    <row r="387" spans="1:30"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Y387">
        <v>17.702000000000002</v>
      </c>
      <c r="Z387">
        <v>67.631</v>
      </c>
      <c r="AA387">
        <v>73.531999999999996</v>
      </c>
      <c r="AB387">
        <v>28.126999999999999</v>
      </c>
      <c r="AC387">
        <v>28.312000000000001</v>
      </c>
      <c r="AD387">
        <v>29.494</v>
      </c>
    </row>
    <row r="388" spans="1:30"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Y388">
        <v>18.622</v>
      </c>
      <c r="Z388">
        <v>54.475999999999999</v>
      </c>
      <c r="AA388">
        <v>89.516999999999996</v>
      </c>
      <c r="AB388">
        <v>28.126999999999999</v>
      </c>
      <c r="AC388">
        <v>28.312000000000001</v>
      </c>
      <c r="AD388">
        <v>29.114000000000001</v>
      </c>
    </row>
    <row r="389" spans="1:30"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Y389">
        <v>18.984000000000002</v>
      </c>
      <c r="Z389">
        <v>39.481999999999999</v>
      </c>
      <c r="AA389">
        <v>86.775000000000006</v>
      </c>
      <c r="AB389">
        <v>28.126999999999999</v>
      </c>
      <c r="AC389">
        <v>28.312000000000001</v>
      </c>
      <c r="AD389">
        <v>29.494</v>
      </c>
    </row>
    <row r="390" spans="1:30"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Y390">
        <v>19.326000000000001</v>
      </c>
      <c r="Z390">
        <v>32.92</v>
      </c>
      <c r="AA390">
        <v>90.751000000000005</v>
      </c>
      <c r="AB390">
        <v>28.126999999999999</v>
      </c>
      <c r="AC390">
        <v>28.312000000000001</v>
      </c>
      <c r="AD390">
        <v>29.114000000000001</v>
      </c>
    </row>
    <row r="391" spans="1:30"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Y391">
        <v>19.393000000000001</v>
      </c>
      <c r="Z391">
        <v>27.792000000000002</v>
      </c>
      <c r="AA391">
        <v>86.620999999999995</v>
      </c>
      <c r="AB391">
        <v>28.126999999999999</v>
      </c>
      <c r="AC391">
        <v>28.312000000000001</v>
      </c>
      <c r="AD391">
        <v>29.494</v>
      </c>
    </row>
    <row r="392" spans="1:30"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Y392">
        <v>19.613</v>
      </c>
      <c r="Z392">
        <v>37.417000000000002</v>
      </c>
      <c r="AA392">
        <v>84.679000000000002</v>
      </c>
      <c r="AB392">
        <v>28.126999999999999</v>
      </c>
      <c r="AC392">
        <v>28.312000000000001</v>
      </c>
      <c r="AD392">
        <v>29.114000000000001</v>
      </c>
    </row>
    <row r="393" spans="1:30"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Y393">
        <v>19.986999999999998</v>
      </c>
      <c r="Z393">
        <v>47.517000000000003</v>
      </c>
      <c r="AA393">
        <v>71.573999999999998</v>
      </c>
      <c r="AB393">
        <v>28.126999999999999</v>
      </c>
      <c r="AC393">
        <v>28.312000000000001</v>
      </c>
      <c r="AD393">
        <v>29.494</v>
      </c>
    </row>
    <row r="394" spans="1:30"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Y394">
        <v>20.163</v>
      </c>
      <c r="Z394">
        <v>62.668999999999997</v>
      </c>
      <c r="AA394">
        <v>65.418000000000006</v>
      </c>
      <c r="AB394">
        <v>28.126999999999999</v>
      </c>
      <c r="AC394">
        <v>28.312000000000001</v>
      </c>
      <c r="AD394">
        <v>29.114000000000001</v>
      </c>
    </row>
    <row r="395" spans="1:30"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Y395">
        <v>20.302</v>
      </c>
      <c r="Z395">
        <v>76.53</v>
      </c>
      <c r="AA395">
        <v>60.832999999999998</v>
      </c>
      <c r="AB395">
        <v>28.126999999999999</v>
      </c>
      <c r="AC395">
        <v>28.312000000000001</v>
      </c>
      <c r="AD395">
        <v>29.494</v>
      </c>
    </row>
    <row r="396" spans="1:30"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Y396">
        <v>20.504999999999999</v>
      </c>
      <c r="Z396">
        <v>85.509</v>
      </c>
      <c r="AA396">
        <v>57.994999999999997</v>
      </c>
      <c r="AB396">
        <v>28.126999999999999</v>
      </c>
      <c r="AC396">
        <v>28.312000000000001</v>
      </c>
      <c r="AD396">
        <v>29.114000000000001</v>
      </c>
    </row>
    <row r="397" spans="1:30"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Y397">
        <v>20.303999999999998</v>
      </c>
      <c r="Z397">
        <v>74.034000000000006</v>
      </c>
      <c r="AA397">
        <v>56.691000000000003</v>
      </c>
      <c r="AB397">
        <v>28.126999999999999</v>
      </c>
      <c r="AC397">
        <v>28.312000000000001</v>
      </c>
      <c r="AD397">
        <v>29.494</v>
      </c>
    </row>
    <row r="398" spans="1:30"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Y398">
        <v>20.452999999999999</v>
      </c>
      <c r="Z398">
        <v>59.155999999999999</v>
      </c>
      <c r="AA398">
        <v>57.881</v>
      </c>
      <c r="AB398">
        <v>28.126999999999999</v>
      </c>
      <c r="AC398">
        <v>28.312000000000001</v>
      </c>
      <c r="AD398">
        <v>29.114000000000001</v>
      </c>
    </row>
    <row r="399" spans="1:30"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Y399">
        <v>20.62</v>
      </c>
      <c r="Z399">
        <v>42.594000000000001</v>
      </c>
      <c r="AA399">
        <v>60.59</v>
      </c>
      <c r="AB399">
        <v>28.126999999999999</v>
      </c>
      <c r="AC399">
        <v>28.312000000000001</v>
      </c>
      <c r="AD399">
        <v>29.494</v>
      </c>
    </row>
    <row r="400" spans="1:30"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Y400">
        <v>20.507000000000001</v>
      </c>
      <c r="Z400">
        <v>37.64</v>
      </c>
      <c r="AA400">
        <v>65.150999999999996</v>
      </c>
      <c r="AB400">
        <v>28.126999999999999</v>
      </c>
      <c r="AC400">
        <v>28.312000000000001</v>
      </c>
      <c r="AD400">
        <v>29.114000000000001</v>
      </c>
    </row>
    <row r="401" spans="1:30"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Y401">
        <v>20.446999999999999</v>
      </c>
      <c r="Z401">
        <v>27.622</v>
      </c>
      <c r="AA401">
        <v>70.941000000000003</v>
      </c>
      <c r="AB401">
        <v>28.126999999999999</v>
      </c>
      <c r="AC401">
        <v>28.312000000000001</v>
      </c>
      <c r="AD401">
        <v>29.494</v>
      </c>
    </row>
    <row r="402" spans="1:30"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Y402">
        <v>20.350999999999999</v>
      </c>
      <c r="Z402">
        <v>40.587000000000003</v>
      </c>
      <c r="AA402">
        <v>79.075000000000003</v>
      </c>
      <c r="AB402">
        <v>28.126999999999999</v>
      </c>
      <c r="AC402">
        <v>28.312000000000001</v>
      </c>
      <c r="AD402">
        <v>29.114000000000001</v>
      </c>
    </row>
    <row r="403" spans="1:30"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Y403">
        <v>20.529</v>
      </c>
      <c r="Z403">
        <v>44.86</v>
      </c>
      <c r="AA403">
        <v>86.542000000000002</v>
      </c>
      <c r="AB403">
        <v>28.126999999999999</v>
      </c>
      <c r="AC403">
        <v>28.312000000000001</v>
      </c>
      <c r="AD403">
        <v>29.494</v>
      </c>
    </row>
    <row r="404" spans="1:30"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Y404">
        <v>20.268999999999998</v>
      </c>
      <c r="Z404">
        <v>60.326999999999998</v>
      </c>
      <c r="AA404">
        <v>87.512</v>
      </c>
      <c r="AB404">
        <v>28.126999999999999</v>
      </c>
      <c r="AC404">
        <v>28.312000000000001</v>
      </c>
      <c r="AD404">
        <v>29.114000000000001</v>
      </c>
    </row>
    <row r="405" spans="1:30"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Y405">
        <v>19.995999999999999</v>
      </c>
      <c r="Z405">
        <v>73.179000000000002</v>
      </c>
      <c r="AA405">
        <v>86.471000000000004</v>
      </c>
      <c r="AB405">
        <v>28.126999999999999</v>
      </c>
      <c r="AC405">
        <v>28.312000000000001</v>
      </c>
      <c r="AD405">
        <v>29.494</v>
      </c>
    </row>
    <row r="406" spans="1:30"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Y406">
        <v>19.466999999999999</v>
      </c>
      <c r="Z406">
        <v>78.625</v>
      </c>
      <c r="AA406">
        <v>90.185000000000002</v>
      </c>
      <c r="AB406">
        <v>28.126999999999999</v>
      </c>
      <c r="AC406">
        <v>28.312000000000001</v>
      </c>
      <c r="AD406">
        <v>29.114000000000001</v>
      </c>
    </row>
    <row r="407" spans="1:30"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Y407">
        <v>20.117000000000001</v>
      </c>
      <c r="Z407">
        <v>71.484999999999999</v>
      </c>
      <c r="AA407">
        <v>74.067999999999998</v>
      </c>
      <c r="AB407">
        <v>28.126999999999999</v>
      </c>
      <c r="AC407">
        <v>28.312000000000001</v>
      </c>
      <c r="AD407">
        <v>29.494</v>
      </c>
    </row>
    <row r="408" spans="1:30"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Y408">
        <v>20.556999999999999</v>
      </c>
      <c r="Z408">
        <v>58.481000000000002</v>
      </c>
      <c r="AA408">
        <v>66.989999999999995</v>
      </c>
      <c r="AB408">
        <v>28.126999999999999</v>
      </c>
      <c r="AC408">
        <v>28.312000000000001</v>
      </c>
      <c r="AD408">
        <v>29.114000000000001</v>
      </c>
    </row>
    <row r="409" spans="1:30"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Y409">
        <v>20.734999999999999</v>
      </c>
      <c r="Z409">
        <v>43.968000000000004</v>
      </c>
      <c r="AA409">
        <v>61.548999999999999</v>
      </c>
      <c r="AB409">
        <v>28.126999999999999</v>
      </c>
      <c r="AC409">
        <v>28.312000000000001</v>
      </c>
      <c r="AD409">
        <v>29.494</v>
      </c>
    </row>
    <row r="410" spans="1:30"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Y410">
        <v>21</v>
      </c>
      <c r="Z410">
        <v>41.637999999999998</v>
      </c>
      <c r="AA410">
        <v>58.085999999999999</v>
      </c>
      <c r="AB410">
        <v>28.126999999999999</v>
      </c>
      <c r="AC410">
        <v>28.312000000000001</v>
      </c>
      <c r="AD410">
        <v>29.114000000000001</v>
      </c>
    </row>
    <row r="411" spans="1:30"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Y411">
        <v>21.295999999999999</v>
      </c>
      <c r="Z411">
        <v>27.675999999999998</v>
      </c>
      <c r="AA411">
        <v>56.252000000000002</v>
      </c>
      <c r="AB411">
        <v>28.126999999999999</v>
      </c>
      <c r="AC411">
        <v>28.312000000000001</v>
      </c>
      <c r="AD411">
        <v>29.494</v>
      </c>
    </row>
    <row r="412" spans="1:30"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Y412">
        <v>21.736000000000001</v>
      </c>
      <c r="Z412">
        <v>38.234999999999999</v>
      </c>
      <c r="AA412">
        <v>57.191000000000003</v>
      </c>
      <c r="AB412">
        <v>28.126999999999999</v>
      </c>
      <c r="AC412">
        <v>28.312000000000001</v>
      </c>
      <c r="AD412">
        <v>29.114000000000001</v>
      </c>
    </row>
    <row r="413" spans="1:30"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Y413">
        <v>22.420999999999999</v>
      </c>
      <c r="Z413">
        <v>42.715000000000003</v>
      </c>
      <c r="AA413">
        <v>60.026000000000003</v>
      </c>
      <c r="AB413">
        <v>28.126999999999999</v>
      </c>
      <c r="AC413">
        <v>28.312000000000001</v>
      </c>
      <c r="AD413">
        <v>29.494</v>
      </c>
    </row>
    <row r="414" spans="1:30"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Y414">
        <v>22.617000000000001</v>
      </c>
      <c r="Z414">
        <v>58.17</v>
      </c>
      <c r="AA414">
        <v>64.316000000000003</v>
      </c>
      <c r="AB414">
        <v>28.126999999999999</v>
      </c>
      <c r="AC414">
        <v>28.312000000000001</v>
      </c>
      <c r="AD414">
        <v>29.114000000000001</v>
      </c>
    </row>
    <row r="415" spans="1:30"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Y415">
        <v>22.838000000000001</v>
      </c>
      <c r="Z415">
        <v>72.775000000000006</v>
      </c>
      <c r="AA415">
        <v>70.626999999999995</v>
      </c>
      <c r="AB415">
        <v>28.126999999999999</v>
      </c>
      <c r="AC415">
        <v>28.312000000000001</v>
      </c>
      <c r="AD415">
        <v>29.494</v>
      </c>
    </row>
    <row r="416" spans="1:30"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Y416">
        <v>23.19</v>
      </c>
      <c r="Z416">
        <v>84.625</v>
      </c>
      <c r="AA416">
        <v>78.153999999999996</v>
      </c>
      <c r="AB416">
        <v>28.126999999999999</v>
      </c>
      <c r="AC416">
        <v>28.312000000000001</v>
      </c>
      <c r="AD416">
        <v>29.114000000000001</v>
      </c>
    </row>
    <row r="417" spans="1:30"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Y417">
        <v>23.349</v>
      </c>
      <c r="Z417">
        <v>78.081000000000003</v>
      </c>
      <c r="AA417">
        <v>87.146000000000001</v>
      </c>
      <c r="AB417">
        <v>28.126999999999999</v>
      </c>
      <c r="AC417">
        <v>28.312000000000001</v>
      </c>
      <c r="AD417">
        <v>29.494</v>
      </c>
    </row>
    <row r="418" spans="1:30"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Y418">
        <v>23.733000000000001</v>
      </c>
      <c r="Z418">
        <v>63.786000000000001</v>
      </c>
      <c r="AA418">
        <v>85.11</v>
      </c>
      <c r="AB418">
        <v>28.126999999999999</v>
      </c>
      <c r="AC418">
        <v>28.312000000000001</v>
      </c>
      <c r="AD418">
        <v>29.114000000000001</v>
      </c>
    </row>
    <row r="419" spans="1:30"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Y419">
        <v>22.943999999999999</v>
      </c>
      <c r="Z419">
        <v>47.628</v>
      </c>
      <c r="AA419">
        <v>85.221999999999994</v>
      </c>
      <c r="AB419">
        <v>28.126999999999999</v>
      </c>
      <c r="AC419">
        <v>28.312000000000001</v>
      </c>
      <c r="AD419">
        <v>29.494</v>
      </c>
    </row>
    <row r="420" spans="1:30"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Y420">
        <v>22.721</v>
      </c>
      <c r="Z420">
        <v>31.291</v>
      </c>
      <c r="AA420">
        <v>88.622</v>
      </c>
      <c r="AB420">
        <v>28.126999999999999</v>
      </c>
      <c r="AC420">
        <v>28.312000000000001</v>
      </c>
      <c r="AD420">
        <v>29.114000000000001</v>
      </c>
    </row>
    <row r="421" spans="1:30"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Y421">
        <v>22.431999999999999</v>
      </c>
      <c r="Z421">
        <v>27.553999999999998</v>
      </c>
      <c r="AA421">
        <v>75.183999999999997</v>
      </c>
      <c r="AB421">
        <v>28.126999999999999</v>
      </c>
      <c r="AC421">
        <v>28.312000000000001</v>
      </c>
      <c r="AD421">
        <v>29.494</v>
      </c>
    </row>
    <row r="422" spans="1:30"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Y422">
        <v>22.411000000000001</v>
      </c>
      <c r="Z422">
        <v>33.47</v>
      </c>
      <c r="AA422">
        <v>67.694999999999993</v>
      </c>
      <c r="AB422">
        <v>28.126999999999999</v>
      </c>
      <c r="AC422">
        <v>28.312000000000001</v>
      </c>
      <c r="AD422">
        <v>29.114000000000001</v>
      </c>
    </row>
    <row r="423" spans="1:30"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Y423">
        <v>22.295999999999999</v>
      </c>
      <c r="Z423">
        <v>39.436</v>
      </c>
      <c r="AA423">
        <v>62.256999999999998</v>
      </c>
      <c r="AB423">
        <v>28.126999999999999</v>
      </c>
      <c r="AC423">
        <v>28.312000000000001</v>
      </c>
      <c r="AD423">
        <v>29.494</v>
      </c>
    </row>
    <row r="424" spans="1:30"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Y424">
        <v>22.228999999999999</v>
      </c>
      <c r="Z424">
        <v>55.643999999999998</v>
      </c>
      <c r="AA424">
        <v>58.991</v>
      </c>
      <c r="AB424">
        <v>28.126999999999999</v>
      </c>
      <c r="AC424">
        <v>28.312000000000001</v>
      </c>
      <c r="AD424">
        <v>29.114000000000001</v>
      </c>
    </row>
    <row r="425" spans="1:30"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Y425">
        <v>22.497</v>
      </c>
      <c r="Z425">
        <v>69.510999999999996</v>
      </c>
      <c r="AA425">
        <v>56.985999999999997</v>
      </c>
      <c r="AB425">
        <v>28.126999999999999</v>
      </c>
      <c r="AC425">
        <v>28.312000000000001</v>
      </c>
      <c r="AD425">
        <v>29.494</v>
      </c>
    </row>
    <row r="426" spans="1:30"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Y426">
        <v>22.312999999999999</v>
      </c>
      <c r="Z426">
        <v>81.766000000000005</v>
      </c>
      <c r="AA426">
        <v>57.036000000000001</v>
      </c>
      <c r="AB426">
        <v>28.126999999999999</v>
      </c>
      <c r="AC426">
        <v>28.312000000000001</v>
      </c>
      <c r="AD426">
        <v>29.114000000000001</v>
      </c>
    </row>
    <row r="427" spans="1:30"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Y427">
        <v>22.225999999999999</v>
      </c>
      <c r="Z427">
        <v>74.587999999999994</v>
      </c>
      <c r="AA427">
        <v>59.600999999999999</v>
      </c>
      <c r="AB427">
        <v>28.126999999999999</v>
      </c>
      <c r="AC427">
        <v>28.312000000000001</v>
      </c>
      <c r="AD427">
        <v>29.494</v>
      </c>
    </row>
    <row r="428" spans="1:30"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Y428">
        <v>22.206</v>
      </c>
      <c r="Z428">
        <v>62.198999999999998</v>
      </c>
      <c r="AA428">
        <v>63.372</v>
      </c>
      <c r="AB428">
        <v>28.126999999999999</v>
      </c>
      <c r="AC428">
        <v>28.312000000000001</v>
      </c>
      <c r="AD428">
        <v>29.114000000000001</v>
      </c>
    </row>
    <row r="429" spans="1:30"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Y429">
        <v>22.231000000000002</v>
      </c>
      <c r="Z429">
        <v>48.709000000000003</v>
      </c>
      <c r="AA429">
        <v>68.587999999999994</v>
      </c>
      <c r="AB429">
        <v>28.126999999999999</v>
      </c>
      <c r="AC429">
        <v>28.312000000000001</v>
      </c>
      <c r="AD429">
        <v>29.494</v>
      </c>
    </row>
    <row r="430" spans="1:30"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Y430">
        <v>22.24</v>
      </c>
      <c r="Z430">
        <v>35.418999999999997</v>
      </c>
      <c r="AA430">
        <v>76.899000000000001</v>
      </c>
      <c r="AB430">
        <v>28.126999999999999</v>
      </c>
      <c r="AC430">
        <v>28.312000000000001</v>
      </c>
      <c r="AD430">
        <v>29.114000000000001</v>
      </c>
    </row>
    <row r="431" spans="1:30"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Y431">
        <v>21.95</v>
      </c>
      <c r="Z431">
        <v>27.594999999999999</v>
      </c>
      <c r="AA431">
        <v>87.822000000000003</v>
      </c>
      <c r="AB431">
        <v>28.126999999999999</v>
      </c>
      <c r="AC431">
        <v>28.312000000000001</v>
      </c>
      <c r="AD431">
        <v>29.494</v>
      </c>
    </row>
    <row r="432" spans="1:30"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Y432">
        <v>20.774999999999999</v>
      </c>
      <c r="Z432">
        <v>29.257999999999999</v>
      </c>
      <c r="AA432">
        <v>84.03</v>
      </c>
      <c r="AB432">
        <v>28.126999999999999</v>
      </c>
      <c r="AC432">
        <v>28.312000000000001</v>
      </c>
      <c r="AD432">
        <v>29.114000000000001</v>
      </c>
    </row>
    <row r="433" spans="1:30"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Y433">
        <v>20.78</v>
      </c>
      <c r="Z433">
        <v>37.747</v>
      </c>
      <c r="AA433">
        <v>84.468999999999994</v>
      </c>
      <c r="AB433">
        <v>28.126999999999999</v>
      </c>
      <c r="AC433">
        <v>28.312000000000001</v>
      </c>
      <c r="AD433">
        <v>29.494</v>
      </c>
    </row>
    <row r="434" spans="1:30"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Y434">
        <v>20.774000000000001</v>
      </c>
      <c r="Z434">
        <v>53.32</v>
      </c>
      <c r="AA434">
        <v>88.387</v>
      </c>
      <c r="AB434">
        <v>28.126999999999999</v>
      </c>
      <c r="AC434">
        <v>28.312000000000001</v>
      </c>
      <c r="AD434">
        <v>29.114000000000001</v>
      </c>
    </row>
    <row r="435" spans="1:30"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Y435">
        <v>20.757999999999999</v>
      </c>
      <c r="Z435">
        <v>68.158000000000001</v>
      </c>
      <c r="AA435">
        <v>76.795000000000002</v>
      </c>
      <c r="AB435">
        <v>28.126999999999999</v>
      </c>
      <c r="AC435">
        <v>28.312000000000001</v>
      </c>
      <c r="AD435">
        <v>29.494</v>
      </c>
    </row>
    <row r="436" spans="1:30"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Y436">
        <v>20.71</v>
      </c>
      <c r="Z436">
        <v>80.951999999999998</v>
      </c>
      <c r="AA436">
        <v>69.259</v>
      </c>
      <c r="AB436">
        <v>28.126999999999999</v>
      </c>
      <c r="AC436">
        <v>28.312000000000001</v>
      </c>
      <c r="AD436">
        <v>29.114000000000001</v>
      </c>
    </row>
    <row r="437" spans="1:30"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Y437">
        <v>20.821999999999999</v>
      </c>
      <c r="Z437">
        <v>82.382000000000005</v>
      </c>
      <c r="AA437">
        <v>63.271999999999998</v>
      </c>
      <c r="AB437">
        <v>28.126999999999999</v>
      </c>
      <c r="AC437">
        <v>28.312000000000001</v>
      </c>
      <c r="AD437">
        <v>29.494</v>
      </c>
    </row>
    <row r="438" spans="1:30"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Y438">
        <v>20.948</v>
      </c>
      <c r="Z438">
        <v>68.497</v>
      </c>
      <c r="AA438">
        <v>59.158000000000001</v>
      </c>
      <c r="AB438">
        <v>28.126999999999999</v>
      </c>
      <c r="AC438">
        <v>28.312000000000001</v>
      </c>
      <c r="AD438">
        <v>29.114000000000001</v>
      </c>
    </row>
    <row r="439" spans="1:30"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Y439">
        <v>20.792000000000002</v>
      </c>
      <c r="Z439">
        <v>52.783999999999999</v>
      </c>
      <c r="AA439">
        <v>56.627000000000002</v>
      </c>
      <c r="AB439">
        <v>28.126999999999999</v>
      </c>
      <c r="AC439">
        <v>28.312000000000001</v>
      </c>
      <c r="AD439">
        <v>29.494</v>
      </c>
    </row>
    <row r="440" spans="1:30"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Y440">
        <v>20.869</v>
      </c>
      <c r="Z440">
        <v>36.000999999999998</v>
      </c>
      <c r="AA440">
        <v>56.685000000000002</v>
      </c>
      <c r="AB440">
        <v>28.126999999999999</v>
      </c>
      <c r="AC440">
        <v>28.312000000000001</v>
      </c>
      <c r="AD440">
        <v>29.114000000000001</v>
      </c>
    </row>
    <row r="441" spans="1:30"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Y441">
        <v>20.939</v>
      </c>
      <c r="Z441">
        <v>27.716999999999999</v>
      </c>
      <c r="AA441">
        <v>58.863</v>
      </c>
      <c r="AB441">
        <v>28.126999999999999</v>
      </c>
      <c r="AC441">
        <v>28.312000000000001</v>
      </c>
      <c r="AD441">
        <v>29.494</v>
      </c>
    </row>
    <row r="442" spans="1:30"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Y442">
        <v>21.347999999999999</v>
      </c>
      <c r="Z442">
        <v>27.507000000000001</v>
      </c>
      <c r="AA442">
        <v>62.488</v>
      </c>
      <c r="AB442">
        <v>28.126999999999999</v>
      </c>
      <c r="AC442">
        <v>28.312000000000001</v>
      </c>
      <c r="AD442">
        <v>29.114000000000001</v>
      </c>
    </row>
    <row r="443" spans="1:30"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Y443">
        <v>21.209</v>
      </c>
      <c r="Z443">
        <v>35.323</v>
      </c>
      <c r="AA443">
        <v>68.268000000000001</v>
      </c>
      <c r="AB443">
        <v>28.126999999999999</v>
      </c>
      <c r="AC443">
        <v>28.312000000000001</v>
      </c>
      <c r="AD443">
        <v>29.494</v>
      </c>
    </row>
    <row r="444" spans="1:30"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Y444">
        <v>21.823</v>
      </c>
      <c r="Z444">
        <v>51.186</v>
      </c>
      <c r="AA444">
        <v>75.486000000000004</v>
      </c>
      <c r="AB444">
        <v>28.126999999999999</v>
      </c>
      <c r="AC444">
        <v>28.312000000000001</v>
      </c>
      <c r="AD444">
        <v>29.114000000000001</v>
      </c>
    </row>
    <row r="445" spans="1:30"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Y445">
        <v>21.923999999999999</v>
      </c>
      <c r="Z445">
        <v>65.622</v>
      </c>
      <c r="AA445">
        <v>89.081000000000003</v>
      </c>
      <c r="AB445">
        <v>28.126999999999999</v>
      </c>
      <c r="AC445">
        <v>28.312000000000001</v>
      </c>
      <c r="AD445">
        <v>29.494</v>
      </c>
    </row>
    <row r="446" spans="1:30"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Y446">
        <v>21.957000000000001</v>
      </c>
      <c r="Z446">
        <v>78.37</v>
      </c>
      <c r="AA446">
        <v>85.674000000000007</v>
      </c>
      <c r="AB446">
        <v>28.126999999999999</v>
      </c>
      <c r="AC446">
        <v>28.312000000000001</v>
      </c>
      <c r="AD446">
        <v>29.114000000000001</v>
      </c>
    </row>
    <row r="447" spans="1:30"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Y447">
        <v>21.234000000000002</v>
      </c>
      <c r="Z447">
        <v>77.552999999999997</v>
      </c>
      <c r="AA447">
        <v>84.828999999999994</v>
      </c>
      <c r="AB447">
        <v>28.126999999999999</v>
      </c>
      <c r="AC447">
        <v>28.312000000000001</v>
      </c>
      <c r="AD447">
        <v>29.494</v>
      </c>
    </row>
    <row r="448" spans="1:30"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Y448">
        <v>21.216999999999999</v>
      </c>
      <c r="Z448">
        <v>66.266999999999996</v>
      </c>
      <c r="AA448">
        <v>86.805999999999997</v>
      </c>
      <c r="AB448">
        <v>28.126999999999999</v>
      </c>
      <c r="AC448">
        <v>28.312000000000001</v>
      </c>
      <c r="AD448">
        <v>29.114000000000001</v>
      </c>
    </row>
    <row r="449" spans="1:30"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Y449">
        <v>21.216000000000001</v>
      </c>
      <c r="Z449">
        <v>53.036999999999999</v>
      </c>
      <c r="AA449">
        <v>78.057000000000002</v>
      </c>
      <c r="AB449">
        <v>28.126999999999999</v>
      </c>
      <c r="AC449">
        <v>28.312000000000001</v>
      </c>
      <c r="AD449">
        <v>29.494</v>
      </c>
    </row>
    <row r="450" spans="1:30"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Y450">
        <v>21.123999999999999</v>
      </c>
      <c r="Z450">
        <v>37.97</v>
      </c>
      <c r="AA450">
        <v>69.75</v>
      </c>
      <c r="AB450">
        <v>28.126999999999999</v>
      </c>
      <c r="AC450">
        <v>28.312000000000001</v>
      </c>
      <c r="AD450">
        <v>29.114000000000001</v>
      </c>
    </row>
    <row r="451" spans="1:30"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Y451">
        <v>21.04</v>
      </c>
      <c r="Z451">
        <v>30.312999999999999</v>
      </c>
      <c r="AA451">
        <v>64.212999999999994</v>
      </c>
      <c r="AB451">
        <v>28.126999999999999</v>
      </c>
      <c r="AC451">
        <v>28.312000000000001</v>
      </c>
      <c r="AD451">
        <v>29.494</v>
      </c>
    </row>
    <row r="452" spans="1:30"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Y452">
        <v>20.960999999999999</v>
      </c>
      <c r="Z452">
        <v>27.501999999999999</v>
      </c>
      <c r="AA452">
        <v>59.988999999999997</v>
      </c>
      <c r="AB452">
        <v>28.126999999999999</v>
      </c>
      <c r="AC452">
        <v>28.312000000000001</v>
      </c>
      <c r="AD452">
        <v>29.114000000000001</v>
      </c>
    </row>
    <row r="453" spans="1:30"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Y453">
        <v>20.85</v>
      </c>
      <c r="Z453">
        <v>35.265000000000001</v>
      </c>
      <c r="AA453">
        <v>57.570999999999998</v>
      </c>
      <c r="AB453">
        <v>28.126999999999999</v>
      </c>
      <c r="AC453">
        <v>28.312000000000001</v>
      </c>
      <c r="AD453">
        <v>29.494</v>
      </c>
    </row>
    <row r="454" spans="1:30"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Y454">
        <v>20.800999999999998</v>
      </c>
      <c r="Z454">
        <v>49.02</v>
      </c>
      <c r="AA454">
        <v>56.814</v>
      </c>
      <c r="AB454">
        <v>28.126999999999999</v>
      </c>
      <c r="AC454">
        <v>28.312000000000001</v>
      </c>
      <c r="AD454">
        <v>29.114000000000001</v>
      </c>
    </row>
    <row r="455" spans="1:30"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Y455">
        <v>20.843</v>
      </c>
      <c r="Z455">
        <v>64.048000000000002</v>
      </c>
      <c r="AA455">
        <v>58.524999999999999</v>
      </c>
      <c r="AB455">
        <v>28.126999999999999</v>
      </c>
      <c r="AC455">
        <v>28.312000000000001</v>
      </c>
      <c r="AD455">
        <v>29.494</v>
      </c>
    </row>
    <row r="456" spans="1:30"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Y456">
        <v>20.861000000000001</v>
      </c>
      <c r="Z456">
        <v>77.805000000000007</v>
      </c>
      <c r="AA456">
        <v>61.74</v>
      </c>
      <c r="AB456">
        <v>28.126999999999999</v>
      </c>
      <c r="AC456">
        <v>28.312000000000001</v>
      </c>
      <c r="AD456">
        <v>29.114000000000001</v>
      </c>
    </row>
    <row r="457" spans="1:30"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Y457">
        <v>20.864000000000001</v>
      </c>
      <c r="Z457">
        <v>86.021000000000001</v>
      </c>
      <c r="AA457">
        <v>66.709999999999994</v>
      </c>
      <c r="AB457">
        <v>28.126999999999999</v>
      </c>
      <c r="AC457">
        <v>28.312000000000001</v>
      </c>
      <c r="AD457">
        <v>29.494</v>
      </c>
    </row>
    <row r="458" spans="1:30"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Y458">
        <v>21.033000000000001</v>
      </c>
      <c r="Z458">
        <v>72.778000000000006</v>
      </c>
      <c r="AA458">
        <v>73.087000000000003</v>
      </c>
      <c r="AB458">
        <v>28.126999999999999</v>
      </c>
      <c r="AC458">
        <v>28.312000000000001</v>
      </c>
      <c r="AD458">
        <v>29.114000000000001</v>
      </c>
    </row>
    <row r="459" spans="1:30"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Y459">
        <v>20.951000000000001</v>
      </c>
      <c r="Z459">
        <v>57.128</v>
      </c>
      <c r="AA459">
        <v>89.584000000000003</v>
      </c>
      <c r="AB459">
        <v>28.126999999999999</v>
      </c>
      <c r="AC459">
        <v>28.312000000000001</v>
      </c>
      <c r="AD459">
        <v>29.494</v>
      </c>
    </row>
    <row r="460" spans="1:30"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Y460">
        <v>20.652999999999999</v>
      </c>
      <c r="Z460">
        <v>41.088000000000001</v>
      </c>
      <c r="AA460">
        <v>86.025999999999996</v>
      </c>
      <c r="AB460">
        <v>28.126999999999999</v>
      </c>
      <c r="AC460">
        <v>28.312000000000001</v>
      </c>
      <c r="AD460">
        <v>29.114000000000001</v>
      </c>
    </row>
    <row r="461" spans="1:30"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Y461">
        <v>20.521000000000001</v>
      </c>
      <c r="Z461">
        <v>35.189</v>
      </c>
      <c r="AA461">
        <v>87.286000000000001</v>
      </c>
      <c r="AB461">
        <v>28.126999999999999</v>
      </c>
      <c r="AC461">
        <v>28.312000000000001</v>
      </c>
      <c r="AD461">
        <v>29.494</v>
      </c>
    </row>
    <row r="462" spans="1:30"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Y462">
        <v>20.344999999999999</v>
      </c>
      <c r="Z462">
        <v>27.666</v>
      </c>
      <c r="AA462">
        <v>86.906999999999996</v>
      </c>
      <c r="AB462">
        <v>28.126999999999999</v>
      </c>
      <c r="AC462">
        <v>28.312000000000001</v>
      </c>
      <c r="AD462">
        <v>29.114000000000001</v>
      </c>
    </row>
    <row r="463" spans="1:30"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Y463">
        <v>20.167000000000002</v>
      </c>
      <c r="Z463">
        <v>42.063000000000002</v>
      </c>
      <c r="AA463">
        <v>79.313000000000002</v>
      </c>
      <c r="AB463">
        <v>28.126999999999999</v>
      </c>
      <c r="AC463">
        <v>28.312000000000001</v>
      </c>
      <c r="AD463">
        <v>29.494</v>
      </c>
    </row>
    <row r="464" spans="1:30"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Y464">
        <v>20.398</v>
      </c>
      <c r="Z464">
        <v>46.061</v>
      </c>
      <c r="AA464">
        <v>71.843000000000004</v>
      </c>
      <c r="AB464">
        <v>28.126999999999999</v>
      </c>
      <c r="AC464">
        <v>28.312000000000001</v>
      </c>
      <c r="AD464">
        <v>29.114000000000001</v>
      </c>
    </row>
    <row r="465" spans="1:30"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Y465">
        <v>20.393999999999998</v>
      </c>
      <c r="Z465">
        <v>61.395000000000003</v>
      </c>
      <c r="AA465">
        <v>65.343999999999994</v>
      </c>
      <c r="AB465">
        <v>28.126999999999999</v>
      </c>
      <c r="AC465">
        <v>28.312000000000001</v>
      </c>
      <c r="AD465">
        <v>29.494</v>
      </c>
    </row>
    <row r="466" spans="1:30"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Y466">
        <v>20.527000000000001</v>
      </c>
      <c r="Z466">
        <v>74.647000000000006</v>
      </c>
      <c r="AA466">
        <v>60.369</v>
      </c>
      <c r="AB466">
        <v>28.126999999999999</v>
      </c>
      <c r="AC466">
        <v>28.312000000000001</v>
      </c>
      <c r="AD466">
        <v>29.114000000000001</v>
      </c>
    </row>
    <row r="467" spans="1:30"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Y467">
        <v>20.638000000000002</v>
      </c>
      <c r="Z467">
        <v>81.198999999999998</v>
      </c>
      <c r="AA467">
        <v>57.368000000000002</v>
      </c>
      <c r="AB467">
        <v>28.126999999999999</v>
      </c>
      <c r="AC467">
        <v>28.312000000000001</v>
      </c>
      <c r="AD467">
        <v>29.494</v>
      </c>
    </row>
    <row r="468" spans="1:30"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Y468">
        <v>20.725000000000001</v>
      </c>
      <c r="Z468">
        <v>70.144000000000005</v>
      </c>
      <c r="AA468">
        <v>56.475000000000001</v>
      </c>
      <c r="AB468">
        <v>28.126999999999999</v>
      </c>
      <c r="AC468">
        <v>28.312000000000001</v>
      </c>
      <c r="AD468">
        <v>29.114000000000001</v>
      </c>
    </row>
    <row r="469" spans="1:30"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Y469">
        <v>20.797999999999998</v>
      </c>
      <c r="Z469">
        <v>57.231999999999999</v>
      </c>
      <c r="AA469">
        <v>57.959000000000003</v>
      </c>
      <c r="AB469">
        <v>28.126999999999999</v>
      </c>
      <c r="AC469">
        <v>28.312000000000001</v>
      </c>
      <c r="AD469">
        <v>29.494</v>
      </c>
    </row>
    <row r="470" spans="1:30"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Y470">
        <v>20.861000000000001</v>
      </c>
      <c r="Z470">
        <v>42.975999999999999</v>
      </c>
      <c r="AA470">
        <v>61.189</v>
      </c>
      <c r="AB470">
        <v>28.126999999999999</v>
      </c>
      <c r="AC470">
        <v>28.312000000000001</v>
      </c>
      <c r="AD470">
        <v>29.114000000000001</v>
      </c>
    </row>
    <row r="471" spans="1:30"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Y471">
        <v>21.143000000000001</v>
      </c>
      <c r="Z471">
        <v>38.631999999999998</v>
      </c>
      <c r="AA471">
        <v>66.134</v>
      </c>
      <c r="AB471">
        <v>28.126999999999999</v>
      </c>
      <c r="AC471">
        <v>28.312000000000001</v>
      </c>
      <c r="AD471">
        <v>29.494</v>
      </c>
    </row>
    <row r="472" spans="1:30"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Y472">
        <v>21.375</v>
      </c>
      <c r="Z472">
        <v>27.692</v>
      </c>
      <c r="AA472">
        <v>72.894000000000005</v>
      </c>
      <c r="AB472">
        <v>28.126999999999999</v>
      </c>
      <c r="AC472">
        <v>28.312000000000001</v>
      </c>
      <c r="AD472">
        <v>29.114000000000001</v>
      </c>
    </row>
    <row r="473" spans="1:30"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Y473">
        <v>21.36</v>
      </c>
      <c r="Z473">
        <v>40.808999999999997</v>
      </c>
      <c r="AA473">
        <v>87.463999999999999</v>
      </c>
      <c r="AB473">
        <v>28.126999999999999</v>
      </c>
      <c r="AC473">
        <v>28.312000000000001</v>
      </c>
      <c r="AD473">
        <v>29.494</v>
      </c>
    </row>
    <row r="474" spans="1:30"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Y474">
        <v>21.402000000000001</v>
      </c>
      <c r="Z474">
        <v>44.338999999999999</v>
      </c>
      <c r="AA474">
        <v>87.128</v>
      </c>
      <c r="AB474">
        <v>28.126999999999999</v>
      </c>
      <c r="AC474">
        <v>28.312000000000001</v>
      </c>
      <c r="AD474">
        <v>29.114000000000001</v>
      </c>
    </row>
    <row r="475" spans="1:30"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Y475">
        <v>21.407</v>
      </c>
      <c r="Z475">
        <v>59.606999999999999</v>
      </c>
      <c r="AA475">
        <v>90.557000000000002</v>
      </c>
      <c r="AB475">
        <v>28.126999999999999</v>
      </c>
      <c r="AC475">
        <v>28.312000000000001</v>
      </c>
      <c r="AD475">
        <v>29.494</v>
      </c>
    </row>
    <row r="476" spans="1:30"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Y476">
        <v>21.402000000000001</v>
      </c>
      <c r="Z476">
        <v>73.948999999999998</v>
      </c>
      <c r="AA476">
        <v>86.373000000000005</v>
      </c>
      <c r="AB476">
        <v>28.126999999999999</v>
      </c>
      <c r="AC476">
        <v>28.312000000000001</v>
      </c>
      <c r="AD476">
        <v>29.114000000000001</v>
      </c>
    </row>
    <row r="477" spans="1:30"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Y477">
        <v>21.376000000000001</v>
      </c>
      <c r="Z477">
        <v>81.512</v>
      </c>
      <c r="AA477">
        <v>88.766000000000005</v>
      </c>
      <c r="AB477">
        <v>28.126999999999999</v>
      </c>
      <c r="AC477">
        <v>28.312000000000001</v>
      </c>
      <c r="AD477">
        <v>29.494</v>
      </c>
    </row>
    <row r="478" spans="1:30"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Y478">
        <v>21.344000000000001</v>
      </c>
      <c r="Z478">
        <v>76.578000000000003</v>
      </c>
      <c r="AA478">
        <v>72.259</v>
      </c>
      <c r="AB478">
        <v>28.126999999999999</v>
      </c>
      <c r="AC478">
        <v>28.312000000000001</v>
      </c>
      <c r="AD478">
        <v>29.114000000000001</v>
      </c>
    </row>
    <row r="479" spans="1:30"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Y479">
        <v>21.27</v>
      </c>
      <c r="Z479">
        <v>62.598999999999997</v>
      </c>
      <c r="AA479">
        <v>66.22</v>
      </c>
      <c r="AB479">
        <v>28.126999999999999</v>
      </c>
      <c r="AC479">
        <v>28.312000000000001</v>
      </c>
      <c r="AD479">
        <v>29.494</v>
      </c>
    </row>
    <row r="480" spans="1:30"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Y480">
        <v>21.306999999999999</v>
      </c>
      <c r="Z480">
        <v>45.816000000000003</v>
      </c>
      <c r="AA480">
        <v>61.366</v>
      </c>
      <c r="AB480">
        <v>28.126999999999999</v>
      </c>
      <c r="AC480">
        <v>28.312000000000001</v>
      </c>
      <c r="AD480">
        <v>29.114000000000001</v>
      </c>
    </row>
    <row r="481" spans="1:30"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Y481">
        <v>21.434999999999999</v>
      </c>
      <c r="Z481">
        <v>41.427999999999997</v>
      </c>
      <c r="AA481">
        <v>58.267000000000003</v>
      </c>
      <c r="AB481">
        <v>28.126999999999999</v>
      </c>
      <c r="AC481">
        <v>28.312000000000001</v>
      </c>
      <c r="AD481">
        <v>29.494</v>
      </c>
    </row>
    <row r="482" spans="1:30"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Y482">
        <v>21.535</v>
      </c>
      <c r="Z482">
        <v>27.594999999999999</v>
      </c>
      <c r="AA482">
        <v>56.8</v>
      </c>
      <c r="AB482">
        <v>28.126999999999999</v>
      </c>
      <c r="AC482">
        <v>28.312000000000001</v>
      </c>
      <c r="AD482">
        <v>29.114000000000001</v>
      </c>
    </row>
    <row r="483" spans="1:30"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Y483">
        <v>21.622</v>
      </c>
      <c r="Z483">
        <v>36.277000000000001</v>
      </c>
      <c r="AA483">
        <v>57.646999999999998</v>
      </c>
      <c r="AB483">
        <v>28.126999999999999</v>
      </c>
      <c r="AC483">
        <v>28.312000000000001</v>
      </c>
      <c r="AD483">
        <v>29.494</v>
      </c>
    </row>
    <row r="484" spans="1:30"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Y484">
        <v>21.513000000000002</v>
      </c>
      <c r="Z484">
        <v>41.68</v>
      </c>
      <c r="AA484">
        <v>60.225000000000001</v>
      </c>
      <c r="AB484">
        <v>28.126999999999999</v>
      </c>
      <c r="AC484">
        <v>28.312000000000001</v>
      </c>
      <c r="AD484">
        <v>29.114000000000001</v>
      </c>
    </row>
    <row r="485" spans="1:30"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Y485">
        <v>21.516999999999999</v>
      </c>
      <c r="Z485">
        <v>57.149000000000001</v>
      </c>
      <c r="AA485">
        <v>64.534999999999997</v>
      </c>
      <c r="AB485">
        <v>28.126999999999999</v>
      </c>
      <c r="AC485">
        <v>28.312000000000001</v>
      </c>
      <c r="AD485">
        <v>29.494</v>
      </c>
    </row>
    <row r="486" spans="1:30"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Y486">
        <v>21.428999999999998</v>
      </c>
      <c r="Z486">
        <v>70.757000000000005</v>
      </c>
      <c r="AA486">
        <v>70.516999999999996</v>
      </c>
      <c r="AB486">
        <v>28.126999999999999</v>
      </c>
      <c r="AC486">
        <v>28.312000000000001</v>
      </c>
      <c r="AD486">
        <v>29.114000000000001</v>
      </c>
    </row>
    <row r="487" spans="1:30"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Y487">
        <v>21.324000000000002</v>
      </c>
      <c r="Z487">
        <v>81.93</v>
      </c>
      <c r="AA487">
        <v>79.073999999999998</v>
      </c>
      <c r="AB487">
        <v>28.126999999999999</v>
      </c>
      <c r="AC487">
        <v>28.312000000000001</v>
      </c>
      <c r="AD487">
        <v>29.494</v>
      </c>
    </row>
    <row r="488" spans="1:30"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Y488">
        <v>21.175000000000001</v>
      </c>
      <c r="Z488">
        <v>73.504999999999995</v>
      </c>
      <c r="AA488">
        <v>86.26</v>
      </c>
      <c r="AB488">
        <v>28.126999999999999</v>
      </c>
      <c r="AC488">
        <v>28.312000000000001</v>
      </c>
      <c r="AD488">
        <v>29.114000000000001</v>
      </c>
    </row>
    <row r="489" spans="1:30"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Y489">
        <v>21.236999999999998</v>
      </c>
      <c r="Z489">
        <v>61.218000000000004</v>
      </c>
      <c r="AA489">
        <v>86.388000000000005</v>
      </c>
      <c r="AB489">
        <v>28.126999999999999</v>
      </c>
      <c r="AC489">
        <v>28.312000000000001</v>
      </c>
      <c r="AD489">
        <v>29.494</v>
      </c>
    </row>
    <row r="490" spans="1:30"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Y490">
        <v>21.292000000000002</v>
      </c>
      <c r="Z490">
        <v>47.164999999999999</v>
      </c>
      <c r="AA490">
        <v>86.222999999999999</v>
      </c>
      <c r="AB490">
        <v>28.126999999999999</v>
      </c>
      <c r="AC490">
        <v>28.312000000000001</v>
      </c>
      <c r="AD490">
        <v>29.114000000000001</v>
      </c>
    </row>
    <row r="491" spans="1:30"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Y491">
        <v>21.32</v>
      </c>
      <c r="Z491">
        <v>38.109000000000002</v>
      </c>
      <c r="AA491">
        <v>89.879000000000005</v>
      </c>
      <c r="AB491">
        <v>28.126999999999999</v>
      </c>
      <c r="AC491">
        <v>28.312000000000001</v>
      </c>
      <c r="AD491">
        <v>29.494</v>
      </c>
    </row>
    <row r="492" spans="1:30"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Y492">
        <v>21.332999999999998</v>
      </c>
      <c r="Z492">
        <v>27.738</v>
      </c>
      <c r="AA492">
        <v>74.742999999999995</v>
      </c>
      <c r="AB492">
        <v>28.126999999999999</v>
      </c>
      <c r="AC492">
        <v>28.312000000000001</v>
      </c>
      <c r="AD492">
        <v>29.114000000000001</v>
      </c>
    </row>
    <row r="493" spans="1:30"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Y493">
        <v>21.341000000000001</v>
      </c>
      <c r="Z493">
        <v>32.703000000000003</v>
      </c>
      <c r="AA493">
        <v>67.421000000000006</v>
      </c>
      <c r="AB493">
        <v>28.126999999999999</v>
      </c>
      <c r="AC493">
        <v>28.312000000000001</v>
      </c>
      <c r="AD493">
        <v>29.494</v>
      </c>
    </row>
    <row r="494" spans="1:30"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Y494">
        <v>21.332999999999998</v>
      </c>
      <c r="Z494">
        <v>39.396000000000001</v>
      </c>
      <c r="AA494">
        <v>61.932000000000002</v>
      </c>
      <c r="AB494">
        <v>28.126999999999999</v>
      </c>
      <c r="AC494">
        <v>28.312000000000001</v>
      </c>
      <c r="AD494">
        <v>29.114000000000001</v>
      </c>
    </row>
    <row r="495" spans="1:30"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Y495">
        <v>21.25</v>
      </c>
      <c r="Z495">
        <v>55.015000000000001</v>
      </c>
      <c r="AA495">
        <v>58.37</v>
      </c>
      <c r="AB495">
        <v>28.126999999999999</v>
      </c>
      <c r="AC495">
        <v>28.312000000000001</v>
      </c>
      <c r="AD495">
        <v>29.494</v>
      </c>
    </row>
    <row r="496" spans="1:30"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Y496">
        <v>21.204000000000001</v>
      </c>
      <c r="Z496">
        <v>69.802999999999997</v>
      </c>
      <c r="AA496">
        <v>56.369</v>
      </c>
      <c r="AB496">
        <v>28.126999999999999</v>
      </c>
      <c r="AC496">
        <v>28.312000000000001</v>
      </c>
      <c r="AD496">
        <v>29.114000000000001</v>
      </c>
    </row>
    <row r="497" spans="1:30"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Y497">
        <v>21.373000000000001</v>
      </c>
      <c r="Z497">
        <v>82.591999999999999</v>
      </c>
      <c r="AA497">
        <v>57.085000000000001</v>
      </c>
      <c r="AB497">
        <v>28.126999999999999</v>
      </c>
      <c r="AC497">
        <v>28.312000000000001</v>
      </c>
      <c r="AD497">
        <v>29.494</v>
      </c>
    </row>
    <row r="498" spans="1:30"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Y498">
        <v>20.893999999999998</v>
      </c>
      <c r="Z498">
        <v>81.099000000000004</v>
      </c>
      <c r="AA498">
        <v>59.841999999999999</v>
      </c>
      <c r="AB498">
        <v>28.126999999999999</v>
      </c>
      <c r="AC498">
        <v>28.312000000000001</v>
      </c>
      <c r="AD498">
        <v>29.114000000000001</v>
      </c>
    </row>
    <row r="499" spans="1:30"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Y499">
        <v>20.841000000000001</v>
      </c>
      <c r="Z499">
        <v>67.227999999999994</v>
      </c>
      <c r="AA499">
        <v>64.328999999999994</v>
      </c>
      <c r="AB499">
        <v>28.126999999999999</v>
      </c>
      <c r="AC499">
        <v>28.312000000000001</v>
      </c>
      <c r="AD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30"/>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141</v>
      </c>
      <c r="D1" t="s">
        <v>43</v>
      </c>
      <c r="E1" t="s">
        <v>28</v>
      </c>
      <c r="F1" s="12" t="s">
        <v>188</v>
      </c>
      <c r="G1" t="s">
        <v>190</v>
      </c>
      <c r="H1" t="s">
        <v>191</v>
      </c>
    </row>
    <row r="2" spans="3:8" x14ac:dyDescent="0.25">
      <c r="C2" t="s">
        <v>119</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117</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250</v>
      </c>
      <c r="D4">
        <v>233.80500000000001</v>
      </c>
      <c r="E4">
        <v>150.43</v>
      </c>
      <c r="F4" s="12">
        <f ca="1">AVERAGE(INDIRECT("layertime[" &amp; Tabla7[[#This Row],[infill]] &amp; "]"))</f>
        <v>52.685332075471507</v>
      </c>
      <c r="G4">
        <f ca="1">Tabla7[[#This Row],[LT Prom]]+2*_xlfn.STDEV.P(INDIRECT("layertime[" &amp; Tabla7[[#This Row],[infill]] &amp; "]"))</f>
        <v>52.704009385834411</v>
      </c>
      <c r="H4" s="5">
        <f ca="1">(Tabla7[[#This Row],[2 Sigma]]/Tabla7[[#This Row],[LT Prom]])-1</f>
        <v>3.5450683571935926E-4</v>
      </c>
    </row>
    <row r="5" spans="3:8" x14ac:dyDescent="0.25">
      <c r="C5" t="s">
        <v>139</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140</v>
      </c>
      <c r="D6">
        <v>245.49700000000001</v>
      </c>
      <c r="E6">
        <v>150.21100000000001</v>
      </c>
      <c r="F6" s="12">
        <f ca="1">AVERAGE(INDIRECT("layertime[" &amp; Tabla7[[#This Row],[infill]] &amp; "]"))</f>
        <v>55.001056603773307</v>
      </c>
      <c r="G6">
        <f ca="1">Tabla7[[#This Row],[LT Prom]]+2*_xlfn.STDEV.P(INDIRECT("layertime[" &amp; Tabla7[[#This Row],[infill]] &amp; "]"))</f>
        <v>55.14881592622956</v>
      </c>
      <c r="H6" s="2">
        <f ca="1">(Tabla7[[#This Row],[2 Sigma]]/Tabla7[[#This Row],[LT Prom]])-1</f>
        <v>2.6864815256315566E-3</v>
      </c>
    </row>
    <row r="7" spans="3:8" x14ac:dyDescent="0.25">
      <c r="C7" t="s">
        <v>122</v>
      </c>
      <c r="D7">
        <v>235.82900000000001</v>
      </c>
      <c r="E7">
        <v>149.01599999999999</v>
      </c>
      <c r="F7" s="12">
        <f ca="1">AVERAGE(INDIRECT("layertime[" &amp; Tabla7[[#This Row],[infill]] &amp; "]"))</f>
        <v>28.130975903614733</v>
      </c>
      <c r="G7">
        <f ca="1">Tabla7[[#This Row],[LT Prom]]+2*_xlfn.STDEV.P(INDIRECT("layertime[" &amp; Tabla7[[#This Row],[infill]] &amp; "]"))</f>
        <v>28.324777559992604</v>
      </c>
      <c r="H7" s="2">
        <f ca="1">(Tabla7[[#This Row],[2 Sigma]]/Tabla7[[#This Row],[LT Prom]])-1</f>
        <v>6.8892617533744538E-3</v>
      </c>
    </row>
    <row r="8" spans="3:8" x14ac:dyDescent="0.25">
      <c r="C8" t="s">
        <v>131</v>
      </c>
      <c r="D8">
        <v>283.7</v>
      </c>
      <c r="E8">
        <v>148.61600000000001</v>
      </c>
      <c r="F8" s="12">
        <f ca="1">AVERAGE(INDIRECT("layertime[" &amp; Tabla7[[#This Row],[infill]] &amp; "]"))</f>
        <v>33.845094377510136</v>
      </c>
      <c r="G8">
        <f ca="1">Tabla7[[#This Row],[LT Prom]]+2*_xlfn.STDEV.P(INDIRECT("layertime[" &amp; Tabla7[[#This Row],[infill]] &amp; "]"))</f>
        <v>34.08649881184747</v>
      </c>
      <c r="H8" s="2">
        <f ca="1">(Tabla7[[#This Row],[2 Sigma]]/Tabla7[[#This Row],[LT Prom]])-1</f>
        <v>7.1326270107181511E-3</v>
      </c>
    </row>
    <row r="9" spans="3:8" x14ac:dyDescent="0.25">
      <c r="C9" t="s">
        <v>130</v>
      </c>
      <c r="D9">
        <v>244.00399999999999</v>
      </c>
      <c r="E9">
        <v>148.822</v>
      </c>
      <c r="F9" s="12">
        <f ca="1">AVERAGE(INDIRECT("layertime[" &amp; Tabla7[[#This Row],[infill]] &amp; "]"))</f>
        <v>29.118771084337251</v>
      </c>
      <c r="G9">
        <f ca="1">Tabla7[[#This Row],[LT Prom]]+2*_xlfn.STDEV.P(INDIRECT("layertime[" &amp; Tabla7[[#This Row],[infill]] &amp; "]"))</f>
        <v>29.267018622458977</v>
      </c>
      <c r="H9" s="2">
        <f ca="1">(Tabla7[[#This Row],[2 Sigma]]/Tabla7[[#This Row],[LT Prom]])-1</f>
        <v>5.0911330595770909E-3</v>
      </c>
    </row>
    <row r="10" spans="3:8" x14ac:dyDescent="0.25">
      <c r="C10" t="s">
        <v>127</v>
      </c>
      <c r="D10">
        <v>247.04499999999999</v>
      </c>
      <c r="E10">
        <v>150.09299999999999</v>
      </c>
      <c r="F10" s="12">
        <f ca="1">AVERAGE(INDIRECT("layertime[" &amp; Tabla7[[#This Row],[infill]] &amp; "]"))</f>
        <v>29.47280722891556</v>
      </c>
      <c r="G10">
        <f ca="1">Tabla7[[#This Row],[LT Prom]]+2*_xlfn.STDEV.P(INDIRECT("layertime[" &amp; Tabla7[[#This Row],[infill]] &amp; "]"))</f>
        <v>29.792504016663251</v>
      </c>
      <c r="H10" s="2">
        <f ca="1">(Tabla7[[#This Row],[2 Sigma]]/Tabla7[[#This Row],[LT Prom]])-1</f>
        <v>1.0847178053471573E-2</v>
      </c>
    </row>
    <row r="11" spans="3:8" x14ac:dyDescent="0.25">
      <c r="C11" t="s">
        <v>121</v>
      </c>
      <c r="D11">
        <v>237.393</v>
      </c>
      <c r="E11">
        <v>149.238</v>
      </c>
      <c r="F11" s="12">
        <f ca="1">AVERAGE(INDIRECT("layertime[" &amp; Tabla7[[#This Row],[infill]] &amp; "]"))</f>
        <v>28.315578313252921</v>
      </c>
      <c r="G11">
        <f ca="1">Tabla7[[#This Row],[LT Prom]]+2*_xlfn.STDEV.P(INDIRECT("layertime[" &amp; Tabla7[[#This Row],[infill]] &amp; "]"))</f>
        <v>28.465412691584415</v>
      </c>
      <c r="H11" s="2">
        <f ca="1">(Tabla7[[#This Row],[2 Sigma]]/Tabla7[[#This Row],[LT Prom]])-1</f>
        <v>5.2915881382993302E-3</v>
      </c>
    </row>
    <row r="12" spans="3:8" x14ac:dyDescent="0.25">
      <c r="C12" t="s">
        <v>129</v>
      </c>
      <c r="D12">
        <v>509.63600000000002</v>
      </c>
      <c r="E12">
        <v>149.018</v>
      </c>
      <c r="F12" s="12">
        <f ca="1">AVERAGE(INDIRECT("layertime[" &amp; Tabla7[[#This Row],[infill]] &amp; "]"))</f>
        <v>60.895228915662329</v>
      </c>
      <c r="G12">
        <f ca="1">Tabla7[[#This Row],[LT Prom]]+2*_xlfn.STDEV.P(INDIRECT("layertime[" &amp; Tabla7[[#This Row],[infill]] &amp; "]"))</f>
        <v>61.202300089908839</v>
      </c>
      <c r="H12" s="2">
        <f ca="1">(Tabla7[[#This Row],[2 Sigma]]/Tabla7[[#This Row],[LT Prom]])-1</f>
        <v>5.0426146631583624E-3</v>
      </c>
    </row>
    <row r="13" spans="3:8" x14ac:dyDescent="0.25">
      <c r="C13" t="s">
        <v>137</v>
      </c>
      <c r="D13">
        <v>246.67699999999999</v>
      </c>
      <c r="E13">
        <v>150.10300000000001</v>
      </c>
      <c r="F13" s="12">
        <f ca="1">AVERAGE(INDIRECT("layertime[" &amp; Tabla7[[#This Row],[infill]] &amp; "]"))</f>
        <v>29.427819277108444</v>
      </c>
      <c r="G13">
        <f ca="1">Tabla7[[#This Row],[LT Prom]]+2*_xlfn.STDEV.P(INDIRECT("layertime[" &amp; Tabla7[[#This Row],[infill]] &amp; "]"))</f>
        <v>29.806210903298297</v>
      </c>
      <c r="H13" s="2">
        <f ca="1">(Tabla7[[#This Row],[2 Sigma]]/Tabla7[[#This Row],[LT Prom]])-1</f>
        <v>1.2858296519586032E-2</v>
      </c>
    </row>
    <row r="14" spans="3:8" x14ac:dyDescent="0.25">
      <c r="C14" t="s">
        <v>178</v>
      </c>
      <c r="D14">
        <v>242.48599999999999</v>
      </c>
      <c r="E14">
        <v>149.00700000000001</v>
      </c>
      <c r="F14" s="12">
        <f ca="1">AVERAGE(INDIRECT("layertime[" &amp; Tabla7[[#This Row],[infill]] &amp; "]"))</f>
        <v>28.932995983935751</v>
      </c>
      <c r="G14">
        <f ca="1">Tabla7[[#This Row],[LT Prom]]+2*_xlfn.STDEV.P(INDIRECT("layertime[" &amp; Tabla7[[#This Row],[infill]] &amp; "]"))</f>
        <v>29.433953075878378</v>
      </c>
      <c r="H14" s="2">
        <f ca="1">(Tabla7[[#This Row],[2 Sigma]]/Tabla7[[#This Row],[LT Prom]])-1</f>
        <v>1.7314387083203098E-2</v>
      </c>
    </row>
    <row r="15" spans="3:8" x14ac:dyDescent="0.25">
      <c r="C15" t="s">
        <v>118</v>
      </c>
      <c r="D15">
        <v>228.24299999999999</v>
      </c>
      <c r="E15">
        <v>149.02500000000001</v>
      </c>
      <c r="F15" s="12">
        <f ca="1">AVERAGE(INDIRECT("layertime[" &amp; Tabla7[[#This Row],[infill]] &amp; "]"))</f>
        <v>27.226361445783365</v>
      </c>
      <c r="G15">
        <f ca="1">Tabla7[[#This Row],[LT Prom]]+2*_xlfn.STDEV.P(INDIRECT("layertime[" &amp; Tabla7[[#This Row],[infill]] &amp; "]"))</f>
        <v>27.289532720567905</v>
      </c>
      <c r="H15" s="2">
        <f ca="1">(Tabla7[[#This Row],[2 Sigma]]/Tabla7[[#This Row],[LT Prom]])-1</f>
        <v>2.3202246436908602E-3</v>
      </c>
    </row>
    <row r="16" spans="3:8" x14ac:dyDescent="0.25">
      <c r="C16" t="s">
        <v>158</v>
      </c>
      <c r="D16">
        <v>245.78899999999999</v>
      </c>
      <c r="E16">
        <v>150.09299999999999</v>
      </c>
      <c r="F16" s="12">
        <f ca="1">AVERAGE(INDIRECT("layertime[" &amp; Tabla7[[#This Row],[infill]] &amp; "]"))</f>
        <v>29.321708835341326</v>
      </c>
      <c r="G16">
        <f ca="1">Tabla7[[#This Row],[LT Prom]]+2*_xlfn.STDEV.P(INDIRECT("layertime[" &amp; Tabla7[[#This Row],[infill]] &amp; "]"))</f>
        <v>29.741792100955646</v>
      </c>
      <c r="H16" s="2">
        <f ca="1">(Tabla7[[#This Row],[2 Sigma]]/Tabla7[[#This Row],[LT Prom]])-1</f>
        <v>1.4326697941560385E-2</v>
      </c>
    </row>
    <row r="17" spans="3:8" x14ac:dyDescent="0.25">
      <c r="C17" t="s">
        <v>125</v>
      </c>
      <c r="D17">
        <v>682.74400000000003</v>
      </c>
      <c r="E17">
        <v>191.24700000000001</v>
      </c>
      <c r="F17" s="12">
        <f ca="1">AVERAGE(INDIRECT("layertime[" &amp; Tabla7[[#This Row],[infill]] &amp; "]"))</f>
        <v>81.622108433734496</v>
      </c>
      <c r="G17">
        <f ca="1">Tabla7[[#This Row],[LT Prom]]+2*_xlfn.STDEV.P(INDIRECT("layertime[" &amp; Tabla7[[#This Row],[infill]] &amp; "]"))</f>
        <v>81.964896226750511</v>
      </c>
      <c r="H17" s="2">
        <f ca="1">(Tabla7[[#This Row],[2 Sigma]]/Tabla7[[#This Row],[LT Prom]])-1</f>
        <v>4.1996929458678611E-3</v>
      </c>
    </row>
    <row r="18" spans="3:8" x14ac:dyDescent="0.25">
      <c r="C18" t="s">
        <v>120</v>
      </c>
      <c r="D18">
        <v>237.47900000000001</v>
      </c>
      <c r="E18">
        <v>149.00200000000001</v>
      </c>
      <c r="F18" s="12">
        <f ca="1">AVERAGE(INDIRECT("layertime[" &amp; Tabla7[[#This Row],[infill]] &amp; "]"))</f>
        <v>28.326688755020072</v>
      </c>
      <c r="G18">
        <f ca="1">Tabla7[[#This Row],[LT Prom]]+2*_xlfn.STDEV.P(INDIRECT("layertime[" &amp; Tabla7[[#This Row],[infill]] &amp; "]"))</f>
        <v>28.641728508450001</v>
      </c>
      <c r="H18" s="2">
        <f ca="1">(Tabla7[[#This Row],[2 Sigma]]/Tabla7[[#This Row],[LT Prom]])-1</f>
        <v>1.1121658311513682E-2</v>
      </c>
    </row>
    <row r="19" spans="3:8" x14ac:dyDescent="0.25">
      <c r="C19" t="s">
        <v>138</v>
      </c>
      <c r="D19">
        <v>344.53199999999998</v>
      </c>
      <c r="E19">
        <v>180.82</v>
      </c>
      <c r="F19" s="12">
        <f ca="1">AVERAGE(INDIRECT("layertime[" &amp; Tabla7[[#This Row],[infill]] &amp; "]"))</f>
        <v>41.120020080321304</v>
      </c>
      <c r="G19">
        <f ca="1">Tabla7[[#This Row],[LT Prom]]+2*_xlfn.STDEV.P(INDIRECT("layertime[" &amp; Tabla7[[#This Row],[infill]] &amp; "]"))</f>
        <v>41.490775196020117</v>
      </c>
      <c r="H19" s="2">
        <f ca="1">(Tabla7[[#This Row],[2 Sigma]]/Tabla7[[#This Row],[LT Prom]])-1</f>
        <v>9.0164137803094846E-3</v>
      </c>
    </row>
    <row r="20" spans="3:8" x14ac:dyDescent="0.25">
      <c r="C20" t="s">
        <v>136</v>
      </c>
      <c r="D20">
        <v>245.685</v>
      </c>
      <c r="E20">
        <v>150.09299999999999</v>
      </c>
      <c r="F20" s="12">
        <f ca="1">AVERAGE(INDIRECT("layertime[" &amp; Tabla7[[#This Row],[infill]] &amp; "]"))</f>
        <v>29.308622489959788</v>
      </c>
      <c r="G20">
        <f ca="1">Tabla7[[#This Row],[LT Prom]]+2*_xlfn.STDEV.P(INDIRECT("layertime[" &amp; Tabla7[[#This Row],[infill]] &amp; "]"))</f>
        <v>29.750300642676503</v>
      </c>
      <c r="H20" s="2">
        <f ca="1">(Tabla7[[#This Row],[2 Sigma]]/Tabla7[[#This Row],[LT Prom]])-1</f>
        <v>1.5069904867348161E-2</v>
      </c>
    </row>
    <row r="21" spans="3:8" x14ac:dyDescent="0.25">
      <c r="C21" t="s">
        <v>135</v>
      </c>
      <c r="D21">
        <v>240.721</v>
      </c>
      <c r="E21">
        <v>149.02099999999999</v>
      </c>
      <c r="F21" s="12">
        <f ca="1">AVERAGE(INDIRECT("layertime[" &amp; Tabla7[[#This Row],[infill]] &amp; "]"))</f>
        <v>28.717263052208839</v>
      </c>
      <c r="G21">
        <f ca="1">Tabla7[[#This Row],[LT Prom]]+2*_xlfn.STDEV.P(INDIRECT("layertime[" &amp; Tabla7[[#This Row],[infill]] &amp; "]"))</f>
        <v>29.710024073857909</v>
      </c>
      <c r="H21" s="2">
        <f ca="1">(Tabla7[[#This Row],[2 Sigma]]/Tabla7[[#This Row],[LT Prom]])-1</f>
        <v>3.4570182396706839E-2</v>
      </c>
    </row>
    <row r="22" spans="3:8" x14ac:dyDescent="0.25">
      <c r="C22" t="s">
        <v>126</v>
      </c>
      <c r="D22">
        <v>163.452</v>
      </c>
      <c r="E22">
        <v>95.183000000000007</v>
      </c>
      <c r="F22" s="12">
        <f ca="1">AVERAGE(INDIRECT("layertime[" &amp; Tabla7[[#This Row],[infill]] &amp; "]"))</f>
        <v>19.467461847389565</v>
      </c>
      <c r="G22">
        <f ca="1">Tabla7[[#This Row],[LT Prom]]+2*_xlfn.STDEV.P(INDIRECT("layertime[" &amp; Tabla7[[#This Row],[infill]] &amp; "]"))</f>
        <v>22.652954446438443</v>
      </c>
      <c r="H22" s="2">
        <f ca="1">(Tabla7[[#This Row],[2 Sigma]]/Tabla7[[#This Row],[LT Prom]])-1</f>
        <v>0.16363163436614259</v>
      </c>
    </row>
    <row r="23" spans="3:8" x14ac:dyDescent="0.25">
      <c r="C23" t="s">
        <v>123</v>
      </c>
      <c r="D23">
        <v>609.35799999999995</v>
      </c>
      <c r="E23">
        <v>141.739</v>
      </c>
      <c r="F23" s="12">
        <f ca="1">AVERAGE(INDIRECT("layertime[" &amp; Tabla7[[#This Row],[infill]] &amp; "]"))</f>
        <v>73.002323293172779</v>
      </c>
      <c r="G23">
        <f ca="1">Tabla7[[#This Row],[LT Prom]]+2*_xlfn.STDEV.P(INDIRECT("layertime[" &amp; Tabla7[[#This Row],[infill]] &amp; "]"))</f>
        <v>87.231652532247068</v>
      </c>
      <c r="H23" s="2">
        <f ca="1">(Tabla7[[#This Row],[2 Sigma]]/Tabla7[[#This Row],[LT Prom]])-1</f>
        <v>0.19491611495609784</v>
      </c>
    </row>
    <row r="24" spans="3:8" x14ac:dyDescent="0.25">
      <c r="C24" t="s">
        <v>161</v>
      </c>
      <c r="D24">
        <v>595.01499999999999</v>
      </c>
      <c r="E24">
        <v>151.93199999999999</v>
      </c>
      <c r="F24" s="12">
        <f ca="1">AVERAGE(INDIRECT("layertime[" &amp; Tabla7[[#This Row],[infill]] &amp; "]"))</f>
        <v>71.270861445783169</v>
      </c>
      <c r="G24">
        <f ca="1">Tabla7[[#This Row],[LT Prom]]+2*_xlfn.STDEV.P(INDIRECT("layertime[" &amp; Tabla7[[#This Row],[infill]] &amp; "]"))</f>
        <v>94.829484995936127</v>
      </c>
      <c r="H24" s="2">
        <f ca="1">(Tabla7[[#This Row],[2 Sigma]]/Tabla7[[#This Row],[LT Prom]])-1</f>
        <v>0.33055056543794348</v>
      </c>
    </row>
    <row r="25" spans="3:8" x14ac:dyDescent="0.25">
      <c r="C25" t="s">
        <v>128</v>
      </c>
      <c r="D25">
        <v>490.12200000000001</v>
      </c>
      <c r="E25">
        <v>124.437</v>
      </c>
      <c r="F25" s="12">
        <f ca="1">AVERAGE(INDIRECT("layertime[" &amp; Tabla7[[#This Row],[infill]] &amp; "]"))</f>
        <v>58.6895281124498</v>
      </c>
      <c r="G25">
        <f ca="1">Tabla7[[#This Row],[LT Prom]]+2*_xlfn.STDEV.P(INDIRECT("layertime[" &amp; Tabla7[[#This Row],[infill]] &amp; "]"))</f>
        <v>83.402248890906279</v>
      </c>
      <c r="H25" s="2">
        <f ca="1">(Tabla7[[#This Row],[2 Sigma]]/Tabla7[[#This Row],[LT Prom]])-1</f>
        <v>0.42107547246088983</v>
      </c>
    </row>
    <row r="26" spans="3:8" x14ac:dyDescent="0.25">
      <c r="C26" t="s">
        <v>177</v>
      </c>
      <c r="D26">
        <v>242.97499999999999</v>
      </c>
      <c r="E26">
        <v>149.51300000000001</v>
      </c>
      <c r="F26" s="12">
        <f ca="1">AVERAGE(INDIRECT("layertime[" &amp; Tabla7[[#This Row],[infill]] &amp; "]"))</f>
        <v>28.993387550200769</v>
      </c>
      <c r="G26">
        <f ca="1">Tabla7[[#This Row],[LT Prom]]+2*_xlfn.STDEV.P(INDIRECT("layertime[" &amp; Tabla7[[#This Row],[infill]] &amp; "]"))</f>
        <v>48.415847259058651</v>
      </c>
      <c r="H26" s="2">
        <f ca="1">(Tabla7[[#This Row],[2 Sigma]]/Tabla7[[#This Row],[LT Prom]])-1</f>
        <v>0.66989273589465026</v>
      </c>
    </row>
    <row r="27" spans="3:8" x14ac:dyDescent="0.25">
      <c r="C27" t="s">
        <v>124</v>
      </c>
      <c r="D27">
        <v>446.94600000000003</v>
      </c>
      <c r="E27">
        <v>151.50399999999999</v>
      </c>
      <c r="F27" s="12">
        <f ca="1">AVERAGE(INDIRECT("layertime[" &amp; Tabla7[[#This Row],[infill]] &amp; "]"))</f>
        <v>53.422251004016054</v>
      </c>
      <c r="G27">
        <f ca="1">Tabla7[[#This Row],[LT Prom]]+2*_xlfn.STDEV.P(INDIRECT("layertime[" &amp; Tabla7[[#This Row],[infill]] &amp; "]"))</f>
        <v>90.032176276801238</v>
      </c>
      <c r="H27" s="2">
        <f ca="1">(Tabla7[[#This Row],[2 Sigma]]/Tabla7[[#This Row],[LT Prom]])-1</f>
        <v>0.68529357308498673</v>
      </c>
    </row>
    <row r="28" spans="3:8" x14ac:dyDescent="0.25">
      <c r="C28" t="s">
        <v>132</v>
      </c>
      <c r="D28">
        <v>96.709000000000003</v>
      </c>
      <c r="E28">
        <v>38.832999999999998</v>
      </c>
      <c r="F28" s="12">
        <f ca="1">AVERAGE(INDIRECT("layertime[" &amp; Tabla7[[#This Row],[infill]] &amp; "]"))</f>
        <v>11.533271084337352</v>
      </c>
      <c r="G28">
        <f ca="1">Tabla7[[#This Row],[LT Prom]]+2*_xlfn.STDEV.P(INDIRECT("layertime[" &amp; Tabla7[[#This Row],[infill]] &amp; "]"))</f>
        <v>22.162133836714212</v>
      </c>
      <c r="H28" s="2">
        <f ca="1">(Tabla7[[#This Row],[2 Sigma]]/Tabla7[[#This Row],[LT Prom]])-1</f>
        <v>0.92158266936179833</v>
      </c>
    </row>
    <row r="29" spans="3:8" x14ac:dyDescent="0.25">
      <c r="C29" t="s">
        <v>134</v>
      </c>
      <c r="D29">
        <v>400.47699999999998</v>
      </c>
      <c r="E29">
        <v>144.98400000000001</v>
      </c>
      <c r="F29" s="12">
        <f ca="1">AVERAGE(INDIRECT("layertime[" &amp; Tabla7[[#This Row],[infill]] &amp; "]"))</f>
        <v>47.682080321285213</v>
      </c>
      <c r="G29">
        <f ca="1">Tabla7[[#This Row],[LT Prom]]+2*_xlfn.STDEV.P(INDIRECT("layertime[" &amp; Tabla7[[#This Row],[infill]] &amp; "]"))</f>
        <v>99.339266976957845</v>
      </c>
      <c r="H29" s="2">
        <f ca="1">(Tabla7[[#This Row],[2 Sigma]]/Tabla7[[#This Row],[LT Prom]])-1</f>
        <v>1.083366881386107</v>
      </c>
    </row>
    <row r="30" spans="3:8" x14ac:dyDescent="0.25">
      <c r="C30" t="s">
        <v>133</v>
      </c>
      <c r="D30">
        <v>37.844999999999999</v>
      </c>
      <c r="E30">
        <v>17.704999999999998</v>
      </c>
      <c r="F30" s="12">
        <f ca="1">AVERAGE(INDIRECT("layertime[" &amp; Tabla7[[#This Row],[infill]] &amp; "]"))</f>
        <v>6.5922981818181841</v>
      </c>
      <c r="G30">
        <f ca="1">Tabla7[[#This Row],[LT Prom]]+2*_xlfn.STDEV.P(INDIRECT("layertime[" &amp; Tabla7[[#This Row],[infill]] &amp; "]"))</f>
        <v>22.902384302341755</v>
      </c>
      <c r="H30"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2026-10-14T02:13:59Z</dcterms:modified>
</cp:coreProperties>
</file>
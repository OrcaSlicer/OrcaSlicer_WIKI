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N:\Repos\OrcaSlicer_WIKI\print_settings\strength\infill-analysis\"/>
    </mc:Choice>
  </mc:AlternateContent>
  <xr:revisionPtr revIDLastSave="0" documentId="13_ncr:1_{B9482187-2928-461C-803C-70556C735EE4}" xr6:coauthVersionLast="47" xr6:coauthVersionMax="47" xr10:uidLastSave="{00000000-0000-0000-0000-000000000000}"/>
  <bookViews>
    <workbookView xWindow="-120" yWindow="-120" windowWidth="38640" windowHeight="2124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4" l="1"/>
  <c r="E3" i="4"/>
  <c r="E4" i="4"/>
  <c r="E5" i="4"/>
  <c r="Q4" i="1" s="1"/>
  <c r="E6" i="4"/>
  <c r="E7" i="4"/>
  <c r="E8" i="4"/>
  <c r="E9" i="4"/>
  <c r="E10" i="4"/>
  <c r="D2" i="4"/>
  <c r="D3" i="4"/>
  <c r="D4" i="4"/>
  <c r="D5" i="4"/>
  <c r="D6" i="4"/>
  <c r="D7" i="4"/>
  <c r="D8" i="4"/>
  <c r="D9" i="4"/>
  <c r="D10" i="4"/>
  <c r="AP30" i="1"/>
  <c r="AP31" i="1"/>
  <c r="AP32" i="1"/>
  <c r="W30" i="1"/>
  <c r="W31" i="1"/>
  <c r="W32" i="1"/>
  <c r="S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P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T6" i="1"/>
  <c r="T2" i="1"/>
  <c r="T14" i="1"/>
  <c r="T25" i="1"/>
  <c r="AM30" i="1"/>
  <c r="AM31" i="1"/>
  <c r="AM32" i="1"/>
  <c r="BA2" i="1"/>
  <c r="BA3" i="1"/>
  <c r="BA4" i="1"/>
  <c r="BA5" i="1"/>
  <c r="BA6" i="1"/>
  <c r="BA7" i="1"/>
  <c r="BA8" i="1"/>
  <c r="BA9" i="1"/>
  <c r="BA10" i="1"/>
  <c r="BA11" i="1"/>
  <c r="BA12" i="1"/>
  <c r="BA13" i="1"/>
  <c r="BA14" i="1"/>
  <c r="BA15" i="1"/>
  <c r="BA16" i="1"/>
  <c r="BA17" i="1"/>
  <c r="BA18" i="1"/>
  <c r="BA19" i="1"/>
  <c r="BA20" i="1"/>
  <c r="BA21" i="1"/>
  <c r="BA22" i="1"/>
  <c r="BA23" i="1"/>
  <c r="BA24" i="1"/>
  <c r="BA25" i="1"/>
  <c r="BA26" i="1"/>
  <c r="BA27" i="1"/>
  <c r="BA28" i="1"/>
  <c r="BA29" i="1"/>
  <c r="BA30" i="1"/>
  <c r="BA31" i="1"/>
  <c r="BA32" i="1"/>
  <c r="AO29" i="1"/>
  <c r="T7" i="1"/>
  <c r="T16" i="1"/>
  <c r="T17" i="1"/>
  <c r="T18" i="1"/>
  <c r="T20" i="1"/>
  <c r="T30" i="1"/>
  <c r="T31" i="1"/>
  <c r="T32" i="1"/>
  <c r="Q32" i="1"/>
  <c r="Q31" i="1"/>
  <c r="Q30" i="1"/>
  <c r="Q29" i="1"/>
  <c r="Q24" i="1"/>
  <c r="Q18" i="1"/>
  <c r="Q17" i="1"/>
  <c r="Q16" i="1"/>
  <c r="Q15" i="1"/>
  <c r="Q9" i="1"/>
  <c r="AO4" i="1"/>
  <c r="AO2" i="1"/>
  <c r="AO3" i="1"/>
  <c r="AO5" i="1"/>
  <c r="AO6" i="1"/>
  <c r="AO7" i="1"/>
  <c r="AO8" i="1"/>
  <c r="AO9" i="1"/>
  <c r="AO10" i="1"/>
  <c r="AO11" i="1"/>
  <c r="AO12" i="1"/>
  <c r="AO13" i="1"/>
  <c r="AO14" i="1"/>
  <c r="AO15" i="1"/>
  <c r="AO16" i="1"/>
  <c r="AO17" i="1"/>
  <c r="AO18" i="1"/>
  <c r="AO19" i="1"/>
  <c r="AO20" i="1"/>
  <c r="AO21" i="1"/>
  <c r="AO22" i="1"/>
  <c r="AO23" i="1"/>
  <c r="AO24" i="1"/>
  <c r="AO25" i="1"/>
  <c r="AO26" i="1"/>
  <c r="AO27" i="1"/>
  <c r="AO28" i="1"/>
  <c r="AO30" i="1"/>
  <c r="AO31" i="1"/>
  <c r="AO32" i="1"/>
  <c r="F10" i="3"/>
  <c r="T8" i="1" l="1"/>
  <c r="Q10" i="1"/>
  <c r="Q12" i="1"/>
  <c r="Q27" i="1"/>
  <c r="T23" i="1"/>
  <c r="T5" i="1"/>
  <c r="Q25" i="1"/>
  <c r="AW25" i="1" s="1"/>
  <c r="Q11" i="1"/>
  <c r="Q13" i="1"/>
  <c r="Q28" i="1"/>
  <c r="T21" i="1"/>
  <c r="AW21" i="1" s="1"/>
  <c r="T4" i="1"/>
  <c r="AW4" i="1" s="1"/>
  <c r="Q5" i="1"/>
  <c r="Q20" i="1"/>
  <c r="T15" i="1"/>
  <c r="Q6" i="1"/>
  <c r="AW6" i="1" s="1"/>
  <c r="Q21" i="1"/>
  <c r="T13" i="1"/>
  <c r="Q8" i="1"/>
  <c r="AW8" i="1" s="1"/>
  <c r="Q23" i="1"/>
  <c r="T10" i="1"/>
  <c r="AW10" i="1" s="1"/>
  <c r="T29" i="1"/>
  <c r="AW29" i="1" s="1"/>
  <c r="T9" i="1"/>
  <c r="AW9" i="1" s="1"/>
  <c r="T28" i="1"/>
  <c r="Q26" i="1"/>
  <c r="T11" i="1"/>
  <c r="Q7" i="1"/>
  <c r="AW7" i="1" s="1"/>
  <c r="T22" i="1"/>
  <c r="T24" i="1"/>
  <c r="AW24" i="1" s="1"/>
  <c r="Q22" i="1"/>
  <c r="T19" i="1"/>
  <c r="T12" i="1"/>
  <c r="Q19" i="1"/>
  <c r="Q2" i="1"/>
  <c r="AW2" i="1" s="1"/>
  <c r="T3" i="1"/>
  <c r="Q14" i="1"/>
  <c r="AW14" i="1" s="1"/>
  <c r="T27" i="1"/>
  <c r="Q3" i="1"/>
  <c r="T26" i="1"/>
  <c r="AW20" i="1"/>
  <c r="AW16" i="1"/>
  <c r="AW17" i="1"/>
  <c r="AW32" i="1"/>
  <c r="AW27" i="1"/>
  <c r="AW15" i="1"/>
  <c r="AW18" i="1"/>
  <c r="AW30" i="1"/>
  <c r="AW31" i="1"/>
  <c r="G10" i="3"/>
  <c r="AW12" i="1" l="1"/>
  <c r="AW11" i="1"/>
  <c r="AW13" i="1"/>
  <c r="AW23" i="1"/>
  <c r="AW19" i="1"/>
  <c r="AW5" i="1"/>
  <c r="AW28" i="1"/>
  <c r="AW26" i="1"/>
  <c r="AW22" i="1"/>
  <c r="AW3" i="1"/>
  <c r="H10" i="3"/>
  <c r="F12" i="3"/>
  <c r="F7" i="3"/>
  <c r="F3" i="3"/>
  <c r="F21" i="3"/>
  <c r="F13" i="3"/>
  <c r="F24" i="3"/>
  <c r="F27" i="3"/>
  <c r="F9" i="3"/>
  <c r="F19" i="3"/>
  <c r="F8" i="3"/>
  <c r="AC27" i="1" l="1"/>
  <c r="AC29" i="1"/>
  <c r="AC9" i="1"/>
  <c r="AC11" i="1"/>
  <c r="Y14" i="1"/>
  <c r="Y26" i="1"/>
  <c r="Y28" i="1"/>
  <c r="Y5" i="1"/>
  <c r="Y19" i="1"/>
  <c r="Y7" i="1"/>
  <c r="Y20" i="1"/>
  <c r="Y18" i="1"/>
  <c r="Y13" i="1"/>
  <c r="Y25" i="1"/>
  <c r="Y10" i="1"/>
  <c r="Y22" i="1"/>
  <c r="Y21" i="1"/>
  <c r="Y27" i="1"/>
  <c r="AC6" i="1"/>
  <c r="AC21" i="1"/>
  <c r="AC2" i="1"/>
  <c r="AC4" i="1"/>
  <c r="AC13" i="1"/>
  <c r="AC25" i="1"/>
  <c r="AC16" i="1"/>
  <c r="AC30" i="1"/>
  <c r="AC12" i="1"/>
  <c r="AC19" i="1"/>
  <c r="AC28" i="1"/>
  <c r="AC20" i="1"/>
  <c r="AC32" i="1"/>
  <c r="AC31" i="1"/>
  <c r="AC24" i="1"/>
  <c r="AC15" i="1"/>
  <c r="AC3" i="1"/>
  <c r="AC18" i="1"/>
  <c r="AC10" i="1"/>
  <c r="AC5" i="1"/>
  <c r="AC22" i="1"/>
  <c r="AC14" i="1"/>
  <c r="AC23" i="1"/>
  <c r="AC7" i="1"/>
  <c r="AC8" i="1"/>
  <c r="Y23" i="1"/>
  <c r="Y4" i="1"/>
  <c r="Y9" i="1"/>
  <c r="Y12" i="1"/>
  <c r="Y31" i="1"/>
  <c r="Y15" i="1"/>
  <c r="Y30" i="1"/>
  <c r="Y6" i="1"/>
  <c r="Y11" i="1"/>
  <c r="Y8" i="1"/>
  <c r="Y29" i="1"/>
  <c r="Y16" i="1"/>
  <c r="Y24" i="1"/>
  <c r="Y32" i="1"/>
  <c r="Y3" i="1"/>
  <c r="Y17" i="1"/>
  <c r="U30" i="1"/>
  <c r="V30" i="1" s="1"/>
  <c r="AZ30" i="1" s="1"/>
  <c r="U32" i="1"/>
  <c r="V32" i="1" s="1"/>
  <c r="AZ32" i="1" s="1"/>
  <c r="U31" i="1"/>
  <c r="V31" i="1" s="1"/>
  <c r="AZ31" i="1" s="1"/>
  <c r="F23" i="3"/>
  <c r="G12" i="3"/>
  <c r="F29" i="3"/>
  <c r="G9" i="3"/>
  <c r="F4" i="3"/>
  <c r="F11" i="3"/>
  <c r="G19" i="3"/>
  <c r="F26" i="3"/>
  <c r="F17" i="3"/>
  <c r="F16" i="3"/>
  <c r="G8" i="3"/>
  <c r="G21" i="3"/>
  <c r="F6" i="3"/>
  <c r="F28" i="3"/>
  <c r="F14" i="3"/>
  <c r="G24" i="3"/>
  <c r="G13" i="3"/>
  <c r="G7" i="3"/>
  <c r="F25" i="3"/>
  <c r="F22" i="3"/>
  <c r="G3" i="3"/>
  <c r="F18" i="3"/>
  <c r="F5" i="3"/>
  <c r="F20" i="3"/>
  <c r="F15" i="3"/>
  <c r="F2" i="3"/>
  <c r="G27" i="3"/>
  <c r="H19" i="3" l="1"/>
  <c r="H8" i="3"/>
  <c r="H24" i="3"/>
  <c r="H3" i="3"/>
  <c r="H27" i="3"/>
  <c r="U19" i="1" s="1"/>
  <c r="H21" i="3"/>
  <c r="H12" i="3"/>
  <c r="H9" i="3"/>
  <c r="H13" i="3"/>
  <c r="H7" i="3"/>
  <c r="G14" i="3"/>
  <c r="G28" i="3"/>
  <c r="G4" i="3"/>
  <c r="G23" i="3"/>
  <c r="G20" i="3"/>
  <c r="G16" i="3"/>
  <c r="G22" i="3"/>
  <c r="G11" i="3"/>
  <c r="G6" i="3"/>
  <c r="G25" i="3"/>
  <c r="G17" i="3"/>
  <c r="G15" i="3"/>
  <c r="G26" i="3"/>
  <c r="G5" i="3"/>
  <c r="G18" i="3"/>
  <c r="G2" i="3"/>
  <c r="G29" i="3"/>
  <c r="V19" i="1" l="1"/>
  <c r="W19" i="1"/>
  <c r="U26" i="1"/>
  <c r="U14" i="1"/>
  <c r="H16" i="3"/>
  <c r="H20" i="3"/>
  <c r="H25" i="3"/>
  <c r="U5" i="1" s="1"/>
  <c r="H11" i="3"/>
  <c r="U29" i="1" s="1"/>
  <c r="H6" i="3"/>
  <c r="U16" i="1" s="1"/>
  <c r="H23" i="3"/>
  <c r="H2" i="3"/>
  <c r="H4" i="3"/>
  <c r="U21" i="1" s="1"/>
  <c r="H5" i="3"/>
  <c r="H29" i="3"/>
  <c r="U7" i="1" s="1"/>
  <c r="H15" i="3"/>
  <c r="H26" i="3"/>
  <c r="H14" i="3"/>
  <c r="U11" i="1" s="1"/>
  <c r="H17" i="3"/>
  <c r="U28" i="1" s="1"/>
  <c r="H22" i="3"/>
  <c r="H28" i="3"/>
  <c r="H18" i="3"/>
  <c r="U6" i="1" s="1"/>
  <c r="AC26" i="1"/>
  <c r="AC17" i="1"/>
  <c r="Y2" i="1"/>
  <c r="Z2" i="1" s="1"/>
  <c r="Z32" i="1"/>
  <c r="Z31" i="1"/>
  <c r="Z30" i="1"/>
  <c r="Z29" i="1"/>
  <c r="Z28" i="1"/>
  <c r="Z27" i="1"/>
  <c r="Z26" i="1"/>
  <c r="Z25" i="1"/>
  <c r="Z24" i="1"/>
  <c r="Z23" i="1"/>
  <c r="Z22" i="1"/>
  <c r="Z21" i="1"/>
  <c r="Z20" i="1"/>
  <c r="Z19" i="1"/>
  <c r="Z18" i="1"/>
  <c r="Z17" i="1"/>
  <c r="Z16" i="1"/>
  <c r="Z15" i="1"/>
  <c r="Z14" i="1"/>
  <c r="Z13" i="1"/>
  <c r="Z12" i="1"/>
  <c r="Z11" i="1"/>
  <c r="Z10" i="1"/>
  <c r="Z9" i="1"/>
  <c r="Z8" i="1"/>
  <c r="Z7" i="1"/>
  <c r="Z6" i="1"/>
  <c r="Z5" i="1"/>
  <c r="Z4" i="1"/>
  <c r="Z3" i="1"/>
  <c r="AK2" i="1"/>
  <c r="AN2" i="1" s="1"/>
  <c r="AV2" i="1" s="1"/>
  <c r="AK3" i="1"/>
  <c r="AN3" i="1" s="1"/>
  <c r="AV3" i="1" s="1"/>
  <c r="AK4" i="1"/>
  <c r="AN4" i="1" s="1"/>
  <c r="AV4" i="1" s="1"/>
  <c r="AK5" i="1"/>
  <c r="AN5" i="1" s="1"/>
  <c r="AV5" i="1" s="1"/>
  <c r="AK6" i="1"/>
  <c r="AN6" i="1" s="1"/>
  <c r="AV6" i="1" s="1"/>
  <c r="AK7" i="1"/>
  <c r="AN7" i="1" s="1"/>
  <c r="AV7" i="1" s="1"/>
  <c r="AK8" i="1"/>
  <c r="AN8" i="1" s="1"/>
  <c r="AV8" i="1" s="1"/>
  <c r="AK9" i="1"/>
  <c r="AN9" i="1" s="1"/>
  <c r="AV9" i="1" s="1"/>
  <c r="AK10" i="1"/>
  <c r="AN10" i="1" s="1"/>
  <c r="AV10" i="1" s="1"/>
  <c r="AK11" i="1"/>
  <c r="AN11" i="1" s="1"/>
  <c r="AV11" i="1" s="1"/>
  <c r="AK12" i="1"/>
  <c r="AN12" i="1" s="1"/>
  <c r="AV12" i="1" s="1"/>
  <c r="AK13" i="1"/>
  <c r="AN13" i="1" s="1"/>
  <c r="AV13" i="1" s="1"/>
  <c r="AK14" i="1"/>
  <c r="AN14" i="1" s="1"/>
  <c r="AV14" i="1" s="1"/>
  <c r="AK15" i="1"/>
  <c r="AN15" i="1" s="1"/>
  <c r="AV15" i="1" s="1"/>
  <c r="AK16" i="1"/>
  <c r="AN16" i="1" s="1"/>
  <c r="AV16" i="1" s="1"/>
  <c r="AK17" i="1"/>
  <c r="AN17" i="1" s="1"/>
  <c r="AV17" i="1" s="1"/>
  <c r="AK18" i="1"/>
  <c r="AN18" i="1" s="1"/>
  <c r="AV18" i="1" s="1"/>
  <c r="AK19" i="1"/>
  <c r="AN19" i="1" s="1"/>
  <c r="AV19" i="1" s="1"/>
  <c r="AK20" i="1"/>
  <c r="AN20" i="1" s="1"/>
  <c r="AV20" i="1" s="1"/>
  <c r="AK21" i="1"/>
  <c r="AN21" i="1" s="1"/>
  <c r="AV21" i="1" s="1"/>
  <c r="AK22" i="1"/>
  <c r="AN22" i="1" s="1"/>
  <c r="AV22" i="1" s="1"/>
  <c r="AK23" i="1"/>
  <c r="AN23" i="1" s="1"/>
  <c r="AV23" i="1" s="1"/>
  <c r="AK24" i="1"/>
  <c r="AN24" i="1" s="1"/>
  <c r="AV24" i="1" s="1"/>
  <c r="AK25" i="1"/>
  <c r="AN25" i="1" s="1"/>
  <c r="AV25" i="1" s="1"/>
  <c r="AK26" i="1"/>
  <c r="AN26" i="1" s="1"/>
  <c r="AV26" i="1" s="1"/>
  <c r="AK27" i="1"/>
  <c r="AN27" i="1" s="1"/>
  <c r="AV27" i="1" s="1"/>
  <c r="AK28" i="1"/>
  <c r="AN28" i="1" s="1"/>
  <c r="AV28" i="1" s="1"/>
  <c r="AK29" i="1"/>
  <c r="AN29" i="1" s="1"/>
  <c r="AV29" i="1" s="1"/>
  <c r="AK30" i="1"/>
  <c r="AN30" i="1" s="1"/>
  <c r="AV30" i="1" s="1"/>
  <c r="AK31" i="1"/>
  <c r="AN31" i="1" s="1"/>
  <c r="AV31" i="1" s="1"/>
  <c r="AK32" i="1"/>
  <c r="AN32" i="1" s="1"/>
  <c r="AV32" i="1" s="1"/>
  <c r="AL2" i="1"/>
  <c r="AM2" i="1" s="1"/>
  <c r="AL3" i="1"/>
  <c r="AM3" i="1" s="1"/>
  <c r="AL4" i="1"/>
  <c r="AM4" i="1" s="1"/>
  <c r="AL5" i="1"/>
  <c r="AM5" i="1" s="1"/>
  <c r="AL6" i="1"/>
  <c r="AM6" i="1" s="1"/>
  <c r="AL7" i="1"/>
  <c r="AM7" i="1" s="1"/>
  <c r="AL8" i="1"/>
  <c r="AM8" i="1" s="1"/>
  <c r="AL9" i="1"/>
  <c r="AM9" i="1" s="1"/>
  <c r="AL10" i="1"/>
  <c r="AM10" i="1" s="1"/>
  <c r="AL11" i="1"/>
  <c r="AM11" i="1" s="1"/>
  <c r="AL12" i="1"/>
  <c r="AM12" i="1" s="1"/>
  <c r="AL13" i="1"/>
  <c r="AM13" i="1" s="1"/>
  <c r="AL14" i="1"/>
  <c r="AM14" i="1" s="1"/>
  <c r="AL15" i="1"/>
  <c r="AM15" i="1" s="1"/>
  <c r="AL16" i="1"/>
  <c r="AM16" i="1" s="1"/>
  <c r="AL17" i="1"/>
  <c r="AM17" i="1" s="1"/>
  <c r="AL18" i="1"/>
  <c r="AM18" i="1" s="1"/>
  <c r="AL19" i="1"/>
  <c r="AM19" i="1" s="1"/>
  <c r="AL20" i="1"/>
  <c r="AM20" i="1" s="1"/>
  <c r="AL21" i="1"/>
  <c r="AM21" i="1" s="1"/>
  <c r="AL22" i="1"/>
  <c r="AM22" i="1" s="1"/>
  <c r="AL23" i="1"/>
  <c r="AM23" i="1" s="1"/>
  <c r="AL24" i="1"/>
  <c r="AM24" i="1" s="1"/>
  <c r="AL26" i="1"/>
  <c r="AM26" i="1" s="1"/>
  <c r="AL27" i="1"/>
  <c r="AM27" i="1" s="1"/>
  <c r="AL28" i="1"/>
  <c r="AM28" i="1" s="1"/>
  <c r="AL29" i="1"/>
  <c r="AM29" i="1" s="1"/>
  <c r="AL25" i="1"/>
  <c r="AM25" i="1" s="1"/>
  <c r="AQ24" i="1"/>
  <c r="AR24" i="1"/>
  <c r="AS24" i="1"/>
  <c r="AU30" i="1"/>
  <c r="AU31" i="1"/>
  <c r="AU32" i="1"/>
  <c r="AS26" i="1"/>
  <c r="AS4" i="1"/>
  <c r="AS10" i="1"/>
  <c r="AS21" i="1"/>
  <c r="AS9" i="1"/>
  <c r="AS13" i="1"/>
  <c r="AS11" i="1"/>
  <c r="AS12" i="1"/>
  <c r="AS25" i="1"/>
  <c r="AS23" i="1"/>
  <c r="AS18" i="1"/>
  <c r="AS14" i="1"/>
  <c r="AS2" i="1"/>
  <c r="AS3" i="1"/>
  <c r="AS5" i="1"/>
  <c r="AS20" i="1"/>
  <c r="AS19" i="1"/>
  <c r="AS27" i="1"/>
  <c r="AS28" i="1"/>
  <c r="AS29" i="1"/>
  <c r="AS16" i="1"/>
  <c r="AS17" i="1"/>
  <c r="AS22" i="1"/>
  <c r="AS15" i="1"/>
  <c r="AS6" i="1"/>
  <c r="AS7" i="1"/>
  <c r="AS8" i="1"/>
  <c r="AS30" i="1"/>
  <c r="AS31" i="1"/>
  <c r="AS32" i="1"/>
  <c r="AR26" i="1"/>
  <c r="AR4" i="1"/>
  <c r="AR10" i="1"/>
  <c r="AR21" i="1"/>
  <c r="AR9" i="1"/>
  <c r="AR13" i="1"/>
  <c r="AR11" i="1"/>
  <c r="AR12" i="1"/>
  <c r="AR25" i="1"/>
  <c r="AR23" i="1"/>
  <c r="AR18" i="1"/>
  <c r="AR14" i="1"/>
  <c r="AR2" i="1"/>
  <c r="AR3" i="1"/>
  <c r="AR5" i="1"/>
  <c r="AR20" i="1"/>
  <c r="AR19" i="1"/>
  <c r="AR27" i="1"/>
  <c r="AR28" i="1"/>
  <c r="AR29" i="1"/>
  <c r="AR16" i="1"/>
  <c r="AR17" i="1"/>
  <c r="AR22" i="1"/>
  <c r="AR15" i="1"/>
  <c r="AR6" i="1"/>
  <c r="AR7" i="1"/>
  <c r="AR8" i="1"/>
  <c r="AR30" i="1"/>
  <c r="AR31" i="1"/>
  <c r="AR32" i="1"/>
  <c r="AQ26" i="1"/>
  <c r="AQ4" i="1"/>
  <c r="AQ10" i="1"/>
  <c r="AQ21" i="1"/>
  <c r="AQ9" i="1"/>
  <c r="AQ13" i="1"/>
  <c r="AQ11" i="1"/>
  <c r="AQ12" i="1"/>
  <c r="AQ25" i="1"/>
  <c r="AQ23" i="1"/>
  <c r="AQ18" i="1"/>
  <c r="AQ14" i="1"/>
  <c r="AQ2" i="1"/>
  <c r="AQ3" i="1"/>
  <c r="AQ5" i="1"/>
  <c r="AQ20" i="1"/>
  <c r="AQ19" i="1"/>
  <c r="AQ27" i="1"/>
  <c r="AQ28" i="1"/>
  <c r="AQ29" i="1"/>
  <c r="AQ16" i="1"/>
  <c r="AQ17" i="1"/>
  <c r="AQ22" i="1"/>
  <c r="AQ15" i="1"/>
  <c r="AQ6" i="1"/>
  <c r="AQ7" i="1"/>
  <c r="AQ8" i="1"/>
  <c r="AQ30" i="1"/>
  <c r="AQ31" i="1"/>
  <c r="AQ32" i="1"/>
  <c r="AZ19" i="1" l="1"/>
  <c r="V21" i="1"/>
  <c r="W21" i="1"/>
  <c r="V6" i="1"/>
  <c r="W6" i="1"/>
  <c r="V16" i="1"/>
  <c r="W16" i="1"/>
  <c r="V29" i="1"/>
  <c r="W29" i="1"/>
  <c r="V5" i="1"/>
  <c r="W5" i="1"/>
  <c r="V28" i="1"/>
  <c r="W28" i="1"/>
  <c r="V11" i="1"/>
  <c r="W11" i="1"/>
  <c r="V14" i="1"/>
  <c r="W14" i="1"/>
  <c r="V26" i="1"/>
  <c r="W26" i="1"/>
  <c r="V7" i="1"/>
  <c r="W7" i="1"/>
  <c r="AB2" i="1"/>
  <c r="AX2" i="1" s="1"/>
  <c r="AA2" i="1"/>
  <c r="AB8" i="1"/>
  <c r="AX8" i="1" s="1"/>
  <c r="AA8" i="1"/>
  <c r="AB20" i="1"/>
  <c r="AX20" i="1" s="1"/>
  <c r="AA20" i="1"/>
  <c r="AB32" i="1"/>
  <c r="AX32" i="1" s="1"/>
  <c r="AA32" i="1"/>
  <c r="AB9" i="1"/>
  <c r="AX9" i="1" s="1"/>
  <c r="AA9" i="1"/>
  <c r="AB10" i="1"/>
  <c r="AX10" i="1" s="1"/>
  <c r="AA10" i="1"/>
  <c r="AB22" i="1"/>
  <c r="AX22" i="1" s="1"/>
  <c r="AA22" i="1"/>
  <c r="AB11" i="1"/>
  <c r="AX11" i="1" s="1"/>
  <c r="AA11" i="1"/>
  <c r="AB23" i="1"/>
  <c r="AX23" i="1" s="1"/>
  <c r="AA23" i="1"/>
  <c r="AB12" i="1"/>
  <c r="AX12" i="1" s="1"/>
  <c r="AA12" i="1"/>
  <c r="AB24" i="1"/>
  <c r="AX24" i="1" s="1"/>
  <c r="AA24" i="1"/>
  <c r="AB13" i="1"/>
  <c r="AX13" i="1" s="1"/>
  <c r="AA13" i="1"/>
  <c r="AB25" i="1"/>
  <c r="AX25" i="1" s="1"/>
  <c r="AA25" i="1"/>
  <c r="AB14" i="1"/>
  <c r="AX14" i="1" s="1"/>
  <c r="AA14" i="1"/>
  <c r="AB26" i="1"/>
  <c r="AX26" i="1" s="1"/>
  <c r="AA26" i="1"/>
  <c r="AB3" i="1"/>
  <c r="AX3" i="1" s="1"/>
  <c r="AA3" i="1"/>
  <c r="AB15" i="1"/>
  <c r="AX15" i="1" s="1"/>
  <c r="AA15" i="1"/>
  <c r="AB27" i="1"/>
  <c r="AX27" i="1" s="1"/>
  <c r="AA27" i="1"/>
  <c r="AB4" i="1"/>
  <c r="AX4" i="1" s="1"/>
  <c r="AA4" i="1"/>
  <c r="AB16" i="1"/>
  <c r="AX16" i="1" s="1"/>
  <c r="AA16" i="1"/>
  <c r="AB28" i="1"/>
  <c r="AX28" i="1" s="1"/>
  <c r="AA28" i="1"/>
  <c r="AB21" i="1"/>
  <c r="AX21" i="1" s="1"/>
  <c r="AA21" i="1"/>
  <c r="AB5" i="1"/>
  <c r="AX5" i="1" s="1"/>
  <c r="AA5" i="1"/>
  <c r="AB17" i="1"/>
  <c r="AX17" i="1" s="1"/>
  <c r="AA17" i="1"/>
  <c r="AB29" i="1"/>
  <c r="AX29" i="1" s="1"/>
  <c r="AA29" i="1"/>
  <c r="AB6" i="1"/>
  <c r="AX6" i="1" s="1"/>
  <c r="AA6" i="1"/>
  <c r="AB18" i="1"/>
  <c r="AX18" i="1" s="1"/>
  <c r="AA18" i="1"/>
  <c r="AB30" i="1"/>
  <c r="AX30" i="1" s="1"/>
  <c r="AA30" i="1"/>
  <c r="AB7" i="1"/>
  <c r="AX7" i="1" s="1"/>
  <c r="AA7" i="1"/>
  <c r="AB19" i="1"/>
  <c r="AX19" i="1" s="1"/>
  <c r="AA19" i="1"/>
  <c r="AB31" i="1"/>
  <c r="AX31" i="1" s="1"/>
  <c r="AA31" i="1"/>
  <c r="U15" i="1"/>
  <c r="U12" i="1"/>
  <c r="AZ21" i="1"/>
  <c r="U20" i="1"/>
  <c r="U24" i="1"/>
  <c r="U4" i="1"/>
  <c r="U17" i="1"/>
  <c r="U23" i="1"/>
  <c r="U27" i="1"/>
  <c r="U2" i="1"/>
  <c r="U25" i="1"/>
  <c r="U8" i="1"/>
  <c r="U3" i="1"/>
  <c r="U9" i="1"/>
  <c r="U10" i="1"/>
  <c r="U18" i="1"/>
  <c r="U22" i="1"/>
  <c r="U13" i="1"/>
  <c r="AZ16" i="1"/>
  <c r="AZ6" i="1"/>
  <c r="AG17" i="1"/>
  <c r="AG13" i="1"/>
  <c r="AG15" i="1"/>
  <c r="AG22" i="1"/>
  <c r="AG12" i="1"/>
  <c r="AU21" i="1"/>
  <c r="AU9" i="1"/>
  <c r="AU20" i="1"/>
  <c r="AU8" i="1"/>
  <c r="AU19" i="1"/>
  <c r="AU7" i="1"/>
  <c r="AG29" i="1"/>
  <c r="AU18" i="1"/>
  <c r="AU6" i="1"/>
  <c r="AU25" i="1"/>
  <c r="AU17" i="1"/>
  <c r="AU5" i="1"/>
  <c r="AG3" i="1"/>
  <c r="AG32" i="1"/>
  <c r="AU29" i="1"/>
  <c r="AU16" i="1"/>
  <c r="AU4" i="1"/>
  <c r="AG16" i="1"/>
  <c r="AG9" i="1"/>
  <c r="AG28" i="1"/>
  <c r="AG21" i="1"/>
  <c r="AG27" i="1"/>
  <c r="AG10" i="1"/>
  <c r="AG19" i="1"/>
  <c r="AG4" i="1"/>
  <c r="AU28" i="1"/>
  <c r="AU15" i="1"/>
  <c r="AU3" i="1"/>
  <c r="AG5" i="1"/>
  <c r="AG26" i="1"/>
  <c r="AU27" i="1"/>
  <c r="AU14" i="1"/>
  <c r="AU2" i="1"/>
  <c r="AG6" i="1"/>
  <c r="AG31" i="1"/>
  <c r="AU26" i="1"/>
  <c r="AU13" i="1"/>
  <c r="AG11" i="1"/>
  <c r="AG18" i="1"/>
  <c r="AU24" i="1"/>
  <c r="AU12" i="1"/>
  <c r="AU23" i="1"/>
  <c r="AU11" i="1"/>
  <c r="AG14" i="1"/>
  <c r="AG23" i="1"/>
  <c r="AG25" i="1"/>
  <c r="AG30" i="1"/>
  <c r="AU22" i="1"/>
  <c r="AU10" i="1"/>
  <c r="AG24" i="1"/>
  <c r="AG8" i="1"/>
  <c r="AG7" i="1"/>
  <c r="AG20" i="1"/>
  <c r="AZ5" i="1" l="1"/>
  <c r="AZ14" i="1"/>
  <c r="AZ26" i="1"/>
  <c r="AZ7" i="1"/>
  <c r="AZ11" i="1"/>
  <c r="AZ29" i="1"/>
  <c r="AZ28" i="1"/>
  <c r="V2" i="1"/>
  <c r="W2" i="1"/>
  <c r="V12" i="1"/>
  <c r="W12" i="1"/>
  <c r="V23" i="1"/>
  <c r="W23" i="1"/>
  <c r="V15" i="1"/>
  <c r="W15" i="1"/>
  <c r="V17" i="1"/>
  <c r="W17" i="1"/>
  <c r="V4" i="1"/>
  <c r="W4" i="1"/>
  <c r="V22" i="1"/>
  <c r="W22" i="1"/>
  <c r="V24" i="1"/>
  <c r="W24" i="1"/>
  <c r="V18" i="1"/>
  <c r="W18" i="1"/>
  <c r="V20" i="1"/>
  <c r="W20" i="1"/>
  <c r="V10" i="1"/>
  <c r="W10" i="1"/>
  <c r="V9" i="1"/>
  <c r="W9" i="1"/>
  <c r="V13" i="1"/>
  <c r="W13" i="1"/>
  <c r="V3" i="1"/>
  <c r="W3" i="1"/>
  <c r="V27" i="1"/>
  <c r="W27" i="1"/>
  <c r="V8" i="1"/>
  <c r="W8" i="1"/>
  <c r="V25" i="1"/>
  <c r="W25" i="1"/>
  <c r="AD2" i="1"/>
  <c r="AD25" i="1"/>
  <c r="AD4" i="1"/>
  <c r="AD7" i="1"/>
  <c r="AD9" i="1"/>
  <c r="AD23" i="1"/>
  <c r="AE23" i="1" s="1"/>
  <c r="AD10" i="1"/>
  <c r="AD17" i="1"/>
  <c r="AD27" i="1"/>
  <c r="AD6" i="1"/>
  <c r="AD24" i="1"/>
  <c r="AD18" i="1"/>
  <c r="AD28" i="1"/>
  <c r="AD3" i="1"/>
  <c r="AD20" i="1"/>
  <c r="AD30" i="1"/>
  <c r="AD12" i="1"/>
  <c r="AD14" i="1"/>
  <c r="AD29" i="1"/>
  <c r="AD22" i="1"/>
  <c r="AD26" i="1"/>
  <c r="AD31" i="1"/>
  <c r="AD15" i="1"/>
  <c r="AD5" i="1"/>
  <c r="AD13" i="1"/>
  <c r="AD16" i="1"/>
  <c r="AD19" i="1"/>
  <c r="AD32" i="1"/>
  <c r="AD8" i="1"/>
  <c r="AD21" i="1"/>
  <c r="AD11" i="1"/>
  <c r="AF23" i="1"/>
  <c r="AG2" i="1"/>
  <c r="AH19" i="1" s="1"/>
  <c r="AI19" i="1" s="1"/>
  <c r="AZ23" i="1" l="1"/>
  <c r="AZ15" i="1"/>
  <c r="AZ12" i="1"/>
  <c r="AZ25" i="1"/>
  <c r="AZ10" i="1"/>
  <c r="AZ17" i="1"/>
  <c r="AZ9" i="1"/>
  <c r="AZ4" i="1"/>
  <c r="AZ20" i="1"/>
  <c r="AZ8" i="1"/>
  <c r="AZ27" i="1"/>
  <c r="AZ13" i="1"/>
  <c r="AZ22" i="1"/>
  <c r="AZ18" i="1"/>
  <c r="AZ3" i="1"/>
  <c r="AZ24" i="1"/>
  <c r="AZ2" i="1"/>
  <c r="AF22" i="1"/>
  <c r="AY22" i="1" s="1"/>
  <c r="AE22" i="1"/>
  <c r="AF17" i="1"/>
  <c r="AE17" i="1"/>
  <c r="AF10" i="1"/>
  <c r="AY10" i="1" s="1"/>
  <c r="AE10" i="1"/>
  <c r="AF14" i="1"/>
  <c r="AE14" i="1"/>
  <c r="AF8" i="1"/>
  <c r="AY8" i="1" s="1"/>
  <c r="AE8" i="1"/>
  <c r="AF12" i="1"/>
  <c r="AE12" i="1"/>
  <c r="AF9" i="1"/>
  <c r="AE9" i="1"/>
  <c r="AF11" i="1"/>
  <c r="AE11" i="1"/>
  <c r="AF30" i="1"/>
  <c r="AY30" i="1" s="1"/>
  <c r="AE30" i="1"/>
  <c r="AF7" i="1"/>
  <c r="AY7" i="1" s="1"/>
  <c r="AE7" i="1"/>
  <c r="AF29" i="1"/>
  <c r="AY29" i="1" s="1"/>
  <c r="AE29" i="1"/>
  <c r="AF20" i="1"/>
  <c r="AY20" i="1" s="1"/>
  <c r="AE20" i="1"/>
  <c r="AF4" i="1"/>
  <c r="AE4" i="1"/>
  <c r="AF32" i="1"/>
  <c r="AY32" i="1" s="1"/>
  <c r="AE32" i="1"/>
  <c r="AF3" i="1"/>
  <c r="AY3" i="1" s="1"/>
  <c r="AE3" i="1"/>
  <c r="AF25" i="1"/>
  <c r="AE25" i="1"/>
  <c r="AF13" i="1"/>
  <c r="AY13" i="1" s="1"/>
  <c r="AE13" i="1"/>
  <c r="AF28" i="1"/>
  <c r="AY28" i="1" s="1"/>
  <c r="AE28" i="1"/>
  <c r="AF2" i="1"/>
  <c r="AE2" i="1"/>
  <c r="AF19" i="1"/>
  <c r="AE19" i="1"/>
  <c r="AF5" i="1"/>
  <c r="AE5" i="1"/>
  <c r="AF18" i="1"/>
  <c r="AY18" i="1" s="1"/>
  <c r="AE18" i="1"/>
  <c r="AF21" i="1"/>
  <c r="AY21" i="1" s="1"/>
  <c r="AE21" i="1"/>
  <c r="AF15" i="1"/>
  <c r="AY15" i="1" s="1"/>
  <c r="AE15" i="1"/>
  <c r="AF24" i="1"/>
  <c r="AE24" i="1"/>
  <c r="AF16" i="1"/>
  <c r="AE16" i="1"/>
  <c r="AF31" i="1"/>
  <c r="AY31" i="1" s="1"/>
  <c r="AE31" i="1"/>
  <c r="AF6" i="1"/>
  <c r="AY6" i="1" s="1"/>
  <c r="AE6" i="1"/>
  <c r="AF26" i="1"/>
  <c r="AY26" i="1" s="1"/>
  <c r="AE26" i="1"/>
  <c r="AF27" i="1"/>
  <c r="AY27" i="1" s="1"/>
  <c r="AE27" i="1"/>
  <c r="AH8" i="1"/>
  <c r="AI8" i="1" s="1"/>
  <c r="AH13" i="1"/>
  <c r="AI13" i="1" s="1"/>
  <c r="AH31" i="1"/>
  <c r="AI31" i="1" s="1"/>
  <c r="AH32" i="1"/>
  <c r="AI32" i="1" s="1"/>
  <c r="AH29" i="1"/>
  <c r="AI29" i="1" s="1"/>
  <c r="AH21" i="1"/>
  <c r="AH11" i="1"/>
  <c r="AH9" i="1"/>
  <c r="AH25" i="1"/>
  <c r="AH20" i="1"/>
  <c r="AH14" i="1"/>
  <c r="AH12" i="1"/>
  <c r="AH5" i="1"/>
  <c r="AH30" i="1"/>
  <c r="AH2" i="1"/>
  <c r="AH15" i="1"/>
  <c r="AH27" i="1"/>
  <c r="AH18" i="1"/>
  <c r="AH17" i="1"/>
  <c r="AH6" i="1"/>
  <c r="AH3" i="1"/>
  <c r="AH24" i="1"/>
  <c r="AH16" i="1"/>
  <c r="AH28" i="1"/>
  <c r="AH4" i="1"/>
  <c r="AH26" i="1"/>
  <c r="AH23" i="1"/>
  <c r="AH22" i="1"/>
  <c r="AH10" i="1"/>
  <c r="AH7" i="1"/>
  <c r="AJ29" i="1"/>
  <c r="AJ32" i="1"/>
  <c r="AJ31" i="1"/>
  <c r="AJ19" i="1"/>
  <c r="AY2" i="1"/>
  <c r="AY24" i="1"/>
  <c r="AY19" i="1"/>
  <c r="AY9" i="1"/>
  <c r="AY4" i="1"/>
  <c r="AY12" i="1"/>
  <c r="AY5" i="1"/>
  <c r="AY23" i="1"/>
  <c r="AY16" i="1"/>
  <c r="AY25" i="1"/>
  <c r="AY11" i="1"/>
  <c r="AY17" i="1"/>
  <c r="AY14" i="1"/>
  <c r="AP29" i="1" l="1"/>
  <c r="AJ8" i="1"/>
  <c r="AP8" i="1" s="1"/>
  <c r="AJ13" i="1"/>
  <c r="AP13" i="1" s="1"/>
  <c r="AP19" i="1"/>
  <c r="AJ28" i="1"/>
  <c r="AI28" i="1"/>
  <c r="AP28" i="1" s="1"/>
  <c r="AJ12" i="1"/>
  <c r="AI12" i="1"/>
  <c r="AP12" i="1" s="1"/>
  <c r="AJ14" i="1"/>
  <c r="AI14" i="1"/>
  <c r="AJ24" i="1"/>
  <c r="AI24" i="1"/>
  <c r="AP24" i="1" s="1"/>
  <c r="AJ20" i="1"/>
  <c r="AP20" i="1" s="1"/>
  <c r="AI20" i="1"/>
  <c r="AJ3" i="1"/>
  <c r="AP3" i="1" s="1"/>
  <c r="AI3" i="1"/>
  <c r="AJ25" i="1"/>
  <c r="AI25" i="1"/>
  <c r="AP25" i="1" s="1"/>
  <c r="AJ16" i="1"/>
  <c r="AI16" i="1"/>
  <c r="AP16" i="1" s="1"/>
  <c r="AJ6" i="1"/>
  <c r="AI6" i="1"/>
  <c r="AJ9" i="1"/>
  <c r="AP9" i="1" s="1"/>
  <c r="AI9" i="1"/>
  <c r="AJ17" i="1"/>
  <c r="AI17" i="1"/>
  <c r="AJ11" i="1"/>
  <c r="AI11" i="1"/>
  <c r="AJ7" i="1"/>
  <c r="AI7" i="1"/>
  <c r="AP7" i="1" s="1"/>
  <c r="AJ18" i="1"/>
  <c r="AI18" i="1"/>
  <c r="AP18" i="1" s="1"/>
  <c r="AJ21" i="1"/>
  <c r="AI21" i="1"/>
  <c r="AJ10" i="1"/>
  <c r="AI10" i="1"/>
  <c r="AP10" i="1" s="1"/>
  <c r="AJ27" i="1"/>
  <c r="AI27" i="1"/>
  <c r="AJ22" i="1"/>
  <c r="AI22" i="1"/>
  <c r="AJ15" i="1"/>
  <c r="AI15" i="1"/>
  <c r="AP15" i="1" s="1"/>
  <c r="AJ23" i="1"/>
  <c r="AI23" i="1"/>
  <c r="AP23" i="1" s="1"/>
  <c r="AJ2" i="1"/>
  <c r="AI2" i="1"/>
  <c r="AJ26" i="1"/>
  <c r="AI26" i="1"/>
  <c r="AP26" i="1" s="1"/>
  <c r="AJ30" i="1"/>
  <c r="AI30" i="1"/>
  <c r="AJ4" i="1"/>
  <c r="AI4" i="1"/>
  <c r="AP4" i="1" s="1"/>
  <c r="AJ5" i="1"/>
  <c r="AP5" i="1" s="1"/>
  <c r="AI5" i="1"/>
  <c r="AP22" i="1" l="1"/>
  <c r="AP11" i="1"/>
  <c r="AP27" i="1"/>
  <c r="AP17" i="1"/>
  <c r="AP2" i="1"/>
  <c r="AP21" i="1"/>
  <c r="AP6" i="1"/>
  <c r="AP14" i="1"/>
</calcChain>
</file>

<file path=xl/sharedStrings.xml><?xml version="1.0" encoding="utf-8"?>
<sst xmlns="http://schemas.openxmlformats.org/spreadsheetml/2006/main" count="398" uniqueCount="244">
  <si>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</si>
  <si>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</si>
  <si>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</si>
  <si>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</si>
  <si>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</si>
  <si>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</si>
  <si>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</si>
  <si>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</si>
  <si>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</si>
  <si>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</si>
  <si>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</si>
  <si>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</si>
  <si>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</si>
  <si>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</si>
  <si>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</si>
  <si>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</si>
  <si>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</si>
  <si>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</si>
  <si>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</si>
  <si>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</si>
  <si>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</si>
  <si>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</si>
  <si>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</si>
  <si>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</si>
  <si>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</si>
  <si>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</si>
  <si>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</si>
  <si>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</si>
  <si>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</si>
  <si>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</si>
  <si>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</si>
  <si>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</si>
  <si>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</si>
  <si>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</si>
  <si>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</si>
  <si>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</si>
  <si>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</si>
  <si>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</si>
  <si>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</si>
  <si>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</si>
  <si>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</si>
  <si>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</si>
  <si>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</si>
  <si>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</si>
  <si>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</si>
  <si>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</si>
  <si>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</si>
  <si>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</si>
  <si>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</si>
  <si>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</si>
  <si>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</si>
  <si>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</si>
  <si>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</si>
  <si>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</si>
  <si>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</si>
  <si>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</si>
  <si>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</si>
  <si>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</si>
  <si>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</si>
  <si>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</si>
  <si>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</si>
  <si>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</si>
  <si>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Ultra-fast, ultra-low material infill. Designed for speed and efficiency, ideal for quick prints or non-structural prototypes.</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</si>
  <si>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</si>
  <si>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</si>
  <si>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</si>
  <si>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</si>
  <si>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</si>
  <si>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</si>
  <si>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</si>
  <si>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</si>
  <si>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</si>
  <si>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</si>
  <si>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</si>
  <si>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</si>
  <si>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</si>
  <si>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</si>
  <si>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</si>
  <si>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</si>
  <si>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</si>
  <si>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</si>
  <si>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</si>
  <si>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</si>
  <si>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</si>
  <si>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</si>
  <si>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</si>
  <si>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</si>
  <si>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[rectilinear](#rectilinear) with consistent pattern between layers. Allows you to add a Symmetric infill Y axis for models with two symmetric parts.</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</si>
  <si>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</si>
  <si>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</si>
  <si>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</si>
  <si>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</si>
  <si>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</si>
  <si>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</si>
  <si>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</si>
  <si>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</si>
  <si>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</si>
  <si>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</si>
  <si>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</si>
  <si>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</si>
  <si>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</si>
  <si>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</si>
  <si>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</si>
  <si>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</si>
  <si>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</si>
  <si>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</si>
  <si>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</si>
  <si>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</si>
  <si>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</si>
  <si>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</si>
  <si>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</si>
  <si>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</si>
  <si>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</si>
  <si>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</si>
  <si>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</si>
  <si>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</si>
  <si>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</si>
  <si>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</si>
  <si>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</si>
  <si>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</si>
  <si>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</si>
  <si>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</si>
  <si>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</si>
  <si>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</si>
  <si>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</si>
  <si>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</si>
  <si>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</si>
  <si>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</si>
  <si>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</si>
  <si>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</si>
  <si>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</si>
  <si>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</si>
  <si>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</si>
  <si>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</si>
  <si>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</si>
  <si>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</si>
  <si>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</si>
  <si>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</si>
  <si>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</si>
  <si>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</si>
  <si>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</si>
  <si>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</si>
  <si>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</si>
  <si>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</si>
  <si>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</si>
  <si>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</si>
  <si>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</si>
  <si>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</si>
  <si>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</si>
  <si>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</si>
  <si>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</si>
  <si>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</si>
  <si>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</si>
  <si>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</si>
  <si>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</si>
  <si>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</si>
  <si>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</si>
  <si>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</si>
  <si>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</si>
  <si>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</si>
  <si>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</si>
  <si>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</si>
  <si>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</si>
  <si>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</si>
  <si>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</si>
  <si>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</si>
  <si>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</si>
  <si>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</si>
  <si>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</si>
  <si>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</si>
  <si>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</si>
  <si>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</si>
  <si>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</si>
  <si>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</si>
  <si>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</si>
  <si>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</si>
  <si>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</si>
  <si>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</si>
  <si>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</si>
  <si>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</si>
  <si>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</si>
  <si>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</si>
  <si>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</si>
  <si>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</si>
  <si>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</si>
  <si>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</si>
  <si>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</si>
  <si>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</si>
  <si>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</si>
  <si>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</si>
  <si>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</si>
  <si>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</si>
  <si>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</si>
  <si>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</si>
  <si>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</si>
  <si>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</si>
  <si>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</si>
  <si>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</si>
  <si>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</si>
  <si>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</si>
  <si>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</si>
  <si>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</si>
  <si>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</si>
  <si>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</si>
  <si>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</si>
  <si>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</si>
  <si>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</si>
  <si>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</si>
  <si>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</si>
  <si>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</si>
  <si>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</si>
  <si>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</si>
  <si>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</si>
  <si>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</si>
  <si>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None</t>
  </si>
  <si>
    <t>🔵 Unnoticeable</t>
  </si>
  <si>
    <t>🟡 Possibly Noticeable</t>
  </si>
  <si>
    <t>🔴 Likely Noticeable</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</si>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</sst>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2">
    <dxf>
      <numFmt numFmtId="0" formatCode="General"/>
    </dxf>
    <dxf>
      <numFmt numFmtId="0" formatCode="General"/>
    </dxf>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13" formatCode="0%"/>
    </dxf>
    <dxf>
      <numFmt numFmtId="0" formatCode="General"/>
    </dxf>
    <dxf>
      <numFmt numFmtId="0" formatCode="General"/>
    </dxf>
    <dxf>
      <numFmt numFmtId="0" formatCode="General"/>
    </dxf>
    <dxf>
      <numFmt numFmtId="0" formatCode="General"/>
    </dxf>
    <dxf>
      <numFmt numFmtId="13"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S32">
  <autoFilter ref="E1:AS32" xr:uid="{14E0E815-2798-4AE1-A846-B8CADCC14BD7}"/>
  <tableColumns count="41">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18" xr3:uid="{0AF02225-407A-4366-B524-2DC6A8FF6278}" name="Desc" dataDxfId="51" dataCellStyle="Porcentaje"/>
    <tableColumn id="9" xr3:uid="{EDA17F6B-F438-45F7-B1D4-D47E28684329}" name="XY-N" dataDxfId="50"/>
    <tableColumn id="39" xr3:uid="{D0C4CF46-9DE5-4575-8867-C201F9E3CC11}" name="X-Y Strength" dataDxfId="49">
      <calculatedColumnFormula>_xlfn.XLOOKUP(Infill[[#This Row],[XY-N]],Rating[N],Rating[Name])</calculatedColumnFormula>
    </tableColumn>
    <tableColumn id="17" xr3:uid="{94F205F5-D170-40A1-8C5F-879C636804AA}" name="X-Y Strength Icon" dataDxfId="48">
      <calculatedColumnFormula>_xlfn.XLOOKUP(Infill[[#This Row],[XY-N]],Rating[N],Rating[level-to-better])</calculatedColumnFormula>
    </tableColumn>
    <tableColumn id="20" xr3:uid="{E9317962-9E1D-4D5B-9028-66E03DB4FC89}" name="Z-N" dataDxfId="47"/>
    <tableColumn id="40" xr3:uid="{D897E7AE-1B44-47A7-A450-569D08BC82A1}" name="Z Strength" dataDxfId="46">
      <calculatedColumnFormula>_xlfn.XLOOKUP(Infill[[#This Row],[Z-N]],Rating[N],Rating[Name])</calculatedColumnFormula>
    </tableColumn>
    <tableColumn id="16" xr3:uid="{D6A80A00-4E52-418C-9F58-C091734E73D4}" name="Z Strength Icon" dataDxfId="45">
      <calculatedColumnFormula>_xlfn.XLOOKUP(Infill[[#This Row],[Z-N]],Rating[N],Rating[level-to-better])</calculatedColumnFormula>
    </tableColumn>
    <tableColumn id="36" xr3:uid="{918BEA11-B7B4-479C-8CBA-B8BD2242865D}" name="% 2 Sigma" dataDxfId="44" dataCellStyle="Porcentaje">
      <calculatedColumnFormula>_xlfn.XLOOKUP(Infill[[#This Row],[infill]],Tabla7[infill],Tabla7[% 2 Sigma])</calculatedColumnFormula>
    </tableColumn>
    <tableColumn id="35" xr3:uid="{4FE2BAB5-80F4-4510-9B09-4A9F8F3CE3E0}" name="Layer time Variability" dataDxfId="43">
      <calculatedColumnFormula>_xlfn.XLOOKUP(Infill[[#This Row],[% 2 Sigma]],AbsRating[Max %],AbsRating[Name],,1)</calculatedColumnFormula>
    </tableColumn>
    <tableColumn id="41" xr3:uid="{64E9E770-511D-47D0-ADEC-1FBFC98873E8}" name="Layer time Variability Icon" dataDxfId="42">
      <calculatedColumnFormula>_xlfn.XLOOKUP(Infill[[#This Row],[% 2 Sigma]],AbsRating[Max %],AbsRating[icon],,1)</calculatedColumnFormula>
    </tableColumn>
    <tableColumn id="15" xr3:uid="{A5F7A5DA-C5EE-4BAA-9BF1-1AF83AB88E06}" name="DensityCalc" dataDxfId="41" dataCellStyle="Porcentaje"/>
    <tableColumn id="3" xr3:uid="{E842218B-6949-43A1-A35A-6C35A7D812BB}" name="g" totalsRowFunction="average" totalsRowDxfId="40">
      <calculatedColumnFormula>_xlfn.XLOOKUP(Infill[[#This Row],[infill]],Tabla7[infill],Tabla7[g])</calculatedColumnFormula>
    </tableColumn>
    <tableColumn id="4" xr3:uid="{55891199-0C82-4B3C-B416-4BE5775CD688}" name="% Effective" totalsRowFunction="average" dataDxfId="39" totalsRowDxfId="38" dataCellStyle="Porcentaje">
      <calculatedColumnFormula>Infill[[#This Row],[g]]/(997.25*0.15)</calculatedColumnFormula>
    </tableColumn>
    <tableColumn id="5" xr3:uid="{9B655D73-D997-4337-A901-A49163D1DF99}" name="Material Usage" dataDxfId="37" totalsRowDxfId="36" dataCellStyle="Porcentaje">
      <calculatedColumnFormula>_xlfn.XLOOKUP(Infill[[#This Row],[% Effective]],Rating[Max %],Rating[Name],,1)</calculatedColumnFormula>
    </tableColumn>
    <tableColumn id="11" xr3:uid="{32CE485A-842B-45B3-8F5D-B93DF0C49C8F}" name="Material Usage Icon" dataDxfId="35" dataCellStyle="Porcentaje">
      <calculatedColumnFormula>_xlfn.XLOOKUP(Infill[[#This Row],[% Effective]],Rating[Max %],Rating[level-to-worse],,1)</calculatedColumnFormula>
    </tableColumn>
    <tableColumn id="6" xr3:uid="{C7DC0832-87AA-48F2-8845-AAE7F7254500}" name="Total Time" totalsRowFunction="average" dataDxfId="34">
      <calculatedColumnFormula>_xlfn.XLOOKUP(Infill[[#This Row],[infill]],Tabla7[infill],Tabla7[Total Time])</calculatedColumnFormula>
    </tableColumn>
    <tableColumn id="8" xr3:uid="{252F6390-A339-497F-955E-B7D85B035B56}" name="t prom" dataDxfId="33"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2" dataCellStyle="Porcentaje">
      <calculatedColumnFormula>_xlfn.XLOOKUP(Infill[[#This Row],[t prom]],Rating[Max %],Rating[Name],,1)</calculatedColumnFormula>
    </tableColumn>
    <tableColumn id="12" xr3:uid="{0224A6DD-647D-41E2-B74E-256AAEBCEDB8}" name="Print Time Icon" dataDxfId="31" dataCellStyle="Porcentaje">
      <calculatedColumnFormula>_xlfn.XLOOKUP(Infill[[#This Row],[t prom]],Rating[Max %],Rating[level-to-worse],,1)</calculatedColumnFormula>
    </tableColumn>
    <tableColumn id="7" xr3:uid="{3A33F243-4754-4015-A3B1-EEAA7B810730}" name="g/t" totalsRowFunction="average" dataDxfId="30" totalsRowDxfId="29" dataCellStyle="Porcentaje">
      <calculatedColumnFormula>Infill[[#This Row],[g]]/Infill[[#This Row],[Total Time]]</calculatedColumnFormula>
    </tableColumn>
    <tableColumn id="10" xr3:uid="{81F5FB07-EC80-4D98-B9AE-8EF8E1629F1A}" name="g/t prom" dataDxfId="28" dataCellStyle="Porcentaje">
      <calculatedColumnFormula>Infill[[#This Row],[g/t]]/AVERAGEIFS(Infill[g/t],Infill[Material Usage Icon],_xlfn.XLOOKUP("Normal",Rating[Name],Rating[level-to-worse]))</calculatedColumnFormula>
    </tableColumn>
    <tableColumn id="38" xr3:uid="{57768C7E-D4E7-4B00-AE42-71B67CAF781E}" name="Material/Time" dataDxfId="27" dataCellStyle="Porcentaje">
      <calculatedColumnFormula>_xlfn.XLOOKUP(Infill[[#This Row],[g/t prom]],Rating[Max %],Rating[Name],,1)</calculatedColumnFormula>
    </tableColumn>
    <tableColumn id="13" xr3:uid="{F80BCD33-B1E3-433F-AF6D-F982D670E727}" name="Material/Time Icon" dataDxfId="26" dataCellStyle="Porcentaje">
      <calculatedColumnFormula>_xlfn.XLOOKUP(Infill[[#This Row],[g/t prom]],Rating[Max %],Rating[level-to-better],,1)</calculatedColumnFormula>
    </tableColumn>
    <tableColumn id="19" xr3:uid="{44AE3D7E-C8D1-4165-B6BD-E525E4F90672}" name="nameMD" dataDxfId="25" dataCellStyle="Porcentaje">
      <calculatedColumnFormula>SUBSTITUTE(LOWER(Infill[[#This Row],[name]])," ","-")</calculatedColumnFormula>
    </tableColumn>
    <tableColumn id="33" xr3:uid="{9C188045-ECA6-4734-BC61-4D569A3256F0}" name="SVG" dataDxfId="24" dataCellStyle="Porcentaje"/>
    <tableColumn id="34" xr3:uid="{45B271D4-A035-4A01-B06E-E3B623BB568E}" name="SVG Link" dataDxfId="23">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2" dataCellStyle="Porcentaje">
      <calculatedColumnFormula>"["&amp;Infill[[#This Row],[name]]&amp;"](#"&amp;Infill[[#This Row],[nameMD]]&amp;")"</calculatedColumnFormula>
    </tableColumn>
    <tableColumn id="31" xr3:uid="{D12C345A-0415-4208-969C-FE76BD14B76A}" name="Applies to" dataDxfId="21"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20"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9" dataCellStyle="Porcentaje">
      <calculatedColumnFormula>IF(OR(Infill[[#This Row],[Is Infill]],Infill[[#This Row],[Is Surface]])," { """&amp;Infill[[#This Row],[infill]]&amp;""", "&amp;Infill[[#This Row],[ip]]&amp;" },","")</calculatedColumnFormula>
    </tableColumn>
    <tableColumn id="30" xr3:uid="{DF1D46A6-663C-4993-9678-9483ECBDC09A}" name="Enum Pattern" dataDxfId="18" dataCellStyle="Porcentaje">
      <calculatedColumnFormula>IF(OR(Infill[[#This Row],[Is Infill]],Infill[[#This Row],[Is Surface]]),"def-&gt;enum_values.push_back("""&amp;Infill[[#This Row],[infill]]&amp;""");","")</calculatedColumnFormula>
    </tableColumn>
    <tableColumn id="29" xr3:uid="{A375012B-C9F3-4FDF-8EA3-593D97EDEB2B}" name="Enum Pattern Names" dataDxfId="17"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U1:BA32" totalsRowShown="0">
  <autoFilter ref="AU1:BA32" xr:uid="{F85400E8-93F1-42C5-93F9-13851BAE5398}"/>
  <tableColumns count="7">
    <tableColumn id="1" xr3:uid="{184C8A2D-5FE4-4972-8525-02DD0ED763F3}" name="-" dataDxfId="16">
      <calculatedColumnFormula>Infill[[#This Row],[SVG Link]]</calculatedColumnFormula>
    </tableColumn>
    <tableColumn id="2" xr3:uid="{14A2CB57-4B88-4948-ABB5-B4E1F3AB50EF}" name="Pattern" dataDxfId="15">
      <calculatedColumnFormula>Infill[[#This Row],[Pattern]]</calculatedColumnFormula>
    </tableColumn>
    <tableColumn id="4" xr3:uid="{F83791FA-52BD-4574-8359-2DC84F1575E3}" name="Strength" dataDxfId="14">
      <calculatedColumnFormula>"X-Y: "&amp;Infill[[#This Row],[X-Y Strength Icon]]&amp;"
Z: "&amp;Infill[[#This Row],[Z Strength Icon]]</calculatedColumnFormula>
    </tableColumn>
    <tableColumn id="6" xr3:uid="{630ACA64-21F3-4422-B317-D820E5C1F820}" name="Material Usage" dataDxfId="13">
      <calculatedColumnFormula>Infill[[#This Row],[Material Usage Icon]]</calculatedColumnFormula>
    </tableColumn>
    <tableColumn id="7" xr3:uid="{5F0A6FFD-7381-42EE-8794-FC0492BBA85C}" name="Print Time" dataDxfId="12">
      <calculatedColumnFormula>Infill[[#This Row],[Print Time Icon]]</calculatedColumnFormula>
    </tableColumn>
    <tableColumn id="8" xr3:uid="{741AF022-B1AE-402B-B8D7-B250EA1C1E2F}" name="Layer time Variability" dataDxfId="11">
      <calculatedColumnFormula>Infill[[#This Row],[Layer time Variability]]</calculatedColumnFormula>
    </tableColumn>
    <tableColumn id="3" xr3:uid="{5BC956C2-680D-4EA4-B314-7B5BB54F4D24}" name="Multiline" dataDxfId="10">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9" dataCellStyle="Porcentaje"/>
    <tableColumn id="3" xr3:uid="{18E14714-6899-4575-90B8-4F97863AF141}" name="Name"/>
    <tableColumn id="4" xr3:uid="{196C1C15-3FEB-43E7-91D1-43CC20274E9E}" name="level-to-worse" dataDxfId="1">
      <calculatedColumnFormula>"!["&amp;Rating[[#Headers],[level-to-worse]]&amp;"-"&amp;Rating[[#This Row],[N]]&amp;"](https://github.com/OrcaSlicer/OrcaSlicer_WIKI/blob/main/images/images/misc/"&amp;Rating[[#Headers],[level-to-worse]]&amp;"-"&amp;Rating[[#This Row],[N]]&amp;".svg?raw=true)"</calculatedColumnFormula>
    </tableColumn>
    <tableColumn id="5" xr3:uid="{548A1FE1-398F-4CFF-B088-FDAA5D163121}" name="level-to-better" dataDxfId="0">
      <calculatedColumnFormula>"!["&amp;Rating[[#Headers],[level-to-better]]&amp;"-"&amp;Rating[[#This Row],[N]]&amp;"](https://github.com/OrcaSlicer/OrcaSlicer_WIKI/blob/main/images/images/misc/"&amp;Rating[[#Headers],[level-to-better]]&amp;"-"&amp;Rating[[#This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D3C1491-1C24-428C-A12A-619CEB49BC87}" name="AbsRating9" displayName="AbsRating9" ref="S20:T24" totalsRowShown="0">
  <autoFilter ref="S20:T24" xr:uid="{BD3C1491-1C24-428C-A12A-619CEB49BC87}"/>
  <tableColumns count="2">
    <tableColumn id="2" xr3:uid="{69E72E75-49D0-4388-B6F1-43E289324C31}" name="Max %" dataCellStyle="Porcentaje"/>
    <tableColumn id="3" xr3:uid="{F87082D2-D511-45D7-B05A-8B8195A6DF57}" name="Name"/>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8"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7"/>
    <tableColumn id="14" xr3:uid="{B7D582DD-7DD8-409A-9ED9-0D0DF300B44C}" name="Total Time" dataDxfId="6"/>
    <tableColumn id="4" xr3:uid="{DAEC2DF7-5DDA-4445-B090-54F1A0565FAD}" name="g" dataDxfId="5"/>
    <tableColumn id="8" xr3:uid="{35A80555-3F8E-44CE-8C1A-779513C99493}" name="LT Prom" dataDxfId="4">
      <calculatedColumnFormula>AVERAGE(INDIRECT("layertime[" &amp; Tabla7[[#This Row],[infill]] &amp; "]"))</calculatedColumnFormula>
    </tableColumn>
    <tableColumn id="16" xr3:uid="{EB4AA278-7316-48CB-8C05-73C5AD254B46}" name="2 Sigma" dataDxfId="3">
      <calculatedColumnFormula>Tabla7[[#This Row],[LT Prom]]+2*_xlfn.STDEV.P(INDIRECT("layertime[" &amp; Tabla7[[#This Row],[infill]] &amp; "]"))</calculatedColumnFormula>
    </tableColumn>
    <tableColumn id="12" xr3:uid="{C6E1639D-A5D3-4CB5-89B5-0B628AA0B3A2}" name="% 2 Sigma" dataDxfId="2"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A36"/>
  <sheetViews>
    <sheetView tabSelected="1" topLeftCell="AN1" zoomScale="70" zoomScaleNormal="70" workbookViewId="0">
      <selection activeCell="AP2" sqref="AP2"/>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3" width="20.5703125" customWidth="1"/>
    <col min="14" max="14" width="30.7109375" bestFit="1" customWidth="1"/>
    <col min="15" max="15" width="11.140625" bestFit="1" customWidth="1"/>
    <col min="16" max="16" width="11.140625" customWidth="1"/>
    <col min="17" max="17" width="20" bestFit="1" customWidth="1"/>
    <col min="18" max="18" width="9.28515625" bestFit="1" customWidth="1"/>
    <col min="19" max="19" width="9.28515625" customWidth="1"/>
    <col min="20" max="20" width="16.85546875" bestFit="1" customWidth="1"/>
    <col min="21" max="21" width="16.7109375" bestFit="1" customWidth="1"/>
    <col min="22" max="22" width="28.7109375" bestFit="1" customWidth="1"/>
    <col min="23" max="23" width="28.7109375" customWidth="1"/>
    <col min="24" max="24" width="52.140625" bestFit="1" customWidth="1"/>
    <col min="25" max="25" width="10" bestFit="1" customWidth="1"/>
    <col min="26" max="26" width="17.7109375" bestFit="1" customWidth="1"/>
    <col min="27" max="27" width="17.7109375" customWidth="1"/>
    <col min="28" max="28" width="21.7109375" bestFit="1" customWidth="1"/>
    <col min="29" max="29" width="16.7109375" bestFit="1" customWidth="1"/>
    <col min="30" max="30" width="12" bestFit="1" customWidth="1"/>
    <col min="31" max="31" width="12" customWidth="1"/>
    <col min="32" max="32" width="16.28515625" bestFit="1" customWidth="1"/>
    <col min="33" max="33" width="8.28515625" bestFit="1" customWidth="1"/>
    <col min="34" max="34" width="14.28515625" bestFit="1" customWidth="1"/>
    <col min="35" max="35" width="14.28515625" customWidth="1"/>
    <col min="36" max="36" width="20.140625" bestFit="1" customWidth="1"/>
    <col min="37" max="37" width="21.5703125" bestFit="1" customWidth="1"/>
    <col min="38" max="38" width="27.85546875" bestFit="1" customWidth="1"/>
    <col min="39" max="39" width="166" bestFit="1" customWidth="1"/>
    <col min="40" max="40" width="45.85546875" bestFit="1" customWidth="1"/>
    <col min="41" max="41" width="119.5703125" bestFit="1" customWidth="1"/>
    <col min="42" max="42" width="255.7109375" bestFit="1" customWidth="1"/>
    <col min="43" max="43" width="48.140625" bestFit="1" customWidth="1"/>
    <col min="44" max="44" width="54.28515625" bestFit="1" customWidth="1"/>
    <col min="45" max="45" width="56.85546875" bestFit="1" customWidth="1"/>
    <col min="46" max="46" width="12.5703125" bestFit="1" customWidth="1"/>
    <col min="47" max="47" width="139.140625" bestFit="1" customWidth="1"/>
    <col min="48" max="48" width="45.85546875" bestFit="1" customWidth="1"/>
    <col min="49" max="49" width="21.5703125" bestFit="1" customWidth="1"/>
    <col min="50" max="50" width="21.7109375" customWidth="1"/>
    <col min="51" max="51" width="16.42578125" bestFit="1" customWidth="1"/>
    <col min="52" max="52" width="28.7109375" bestFit="1" customWidth="1"/>
  </cols>
  <sheetData>
    <row r="1" spans="1:53" x14ac:dyDescent="0.25">
      <c r="A1" t="s">
        <v>35</v>
      </c>
      <c r="B1" t="s">
        <v>36</v>
      </c>
      <c r="E1" t="s">
        <v>162</v>
      </c>
      <c r="F1" t="s">
        <v>147</v>
      </c>
      <c r="G1" t="s">
        <v>148</v>
      </c>
      <c r="H1" t="s">
        <v>169</v>
      </c>
      <c r="I1" t="s">
        <v>119</v>
      </c>
      <c r="J1" t="s">
        <v>152</v>
      </c>
      <c r="K1" t="s">
        <v>118</v>
      </c>
      <c r="L1" t="s">
        <v>144</v>
      </c>
      <c r="M1" t="s">
        <v>221</v>
      </c>
      <c r="N1" t="s">
        <v>37</v>
      </c>
      <c r="O1" t="s">
        <v>41</v>
      </c>
      <c r="P1" t="s">
        <v>26</v>
      </c>
      <c r="Q1" t="s">
        <v>232</v>
      </c>
      <c r="R1" t="s">
        <v>42</v>
      </c>
      <c r="S1" t="s">
        <v>27</v>
      </c>
      <c r="T1" t="s">
        <v>233</v>
      </c>
      <c r="U1" t="s">
        <v>194</v>
      </c>
      <c r="V1" t="s">
        <v>187</v>
      </c>
      <c r="W1" t="s">
        <v>243</v>
      </c>
      <c r="X1" t="s">
        <v>25</v>
      </c>
      <c r="Y1" t="s">
        <v>28</v>
      </c>
      <c r="Z1" t="s">
        <v>70</v>
      </c>
      <c r="AA1" t="s">
        <v>19</v>
      </c>
      <c r="AB1" t="s">
        <v>229</v>
      </c>
      <c r="AC1" s="1" t="s">
        <v>43</v>
      </c>
      <c r="AD1" t="s">
        <v>72</v>
      </c>
      <c r="AE1" t="s">
        <v>79</v>
      </c>
      <c r="AF1" t="s">
        <v>230</v>
      </c>
      <c r="AG1" t="s">
        <v>44</v>
      </c>
      <c r="AH1" t="s">
        <v>71</v>
      </c>
      <c r="AI1" t="s">
        <v>64</v>
      </c>
      <c r="AJ1" t="s">
        <v>231</v>
      </c>
      <c r="AK1" t="s">
        <v>166</v>
      </c>
      <c r="AL1" t="s">
        <v>157</v>
      </c>
      <c r="AM1" t="s">
        <v>158</v>
      </c>
      <c r="AN1" t="s">
        <v>80</v>
      </c>
      <c r="AO1" t="s">
        <v>174</v>
      </c>
      <c r="AP1" t="s">
        <v>76</v>
      </c>
      <c r="AQ1" t="s">
        <v>151</v>
      </c>
      <c r="AR1" t="s">
        <v>149</v>
      </c>
      <c r="AS1" t="s">
        <v>150</v>
      </c>
      <c r="AU1" s="9" t="s">
        <v>183</v>
      </c>
      <c r="AV1" t="s">
        <v>80</v>
      </c>
      <c r="AW1" t="s">
        <v>197</v>
      </c>
      <c r="AX1" t="s">
        <v>19</v>
      </c>
      <c r="AY1" t="s">
        <v>79</v>
      </c>
      <c r="AZ1" t="s">
        <v>187</v>
      </c>
      <c r="BA1" t="s">
        <v>221</v>
      </c>
    </row>
    <row r="2" spans="1:53" ht="314.25" customHeight="1" x14ac:dyDescent="0.25">
      <c r="A2" t="s">
        <v>29</v>
      </c>
      <c r="B2" t="s">
        <v>45</v>
      </c>
      <c r="E2">
        <v>0</v>
      </c>
      <c r="F2" t="b">
        <v>0</v>
      </c>
      <c r="G2" t="b">
        <v>1</v>
      </c>
      <c r="H2" t="b">
        <v>0</v>
      </c>
      <c r="I2" t="s">
        <v>145</v>
      </c>
      <c r="J2" t="s">
        <v>153</v>
      </c>
      <c r="K2" t="s">
        <v>101</v>
      </c>
      <c r="L2" t="s">
        <v>142</v>
      </c>
      <c r="M2" t="s">
        <v>222</v>
      </c>
      <c r="N2" s="8" t="s">
        <v>160</v>
      </c>
      <c r="O2">
        <v>4</v>
      </c>
      <c r="P2" t="str">
        <f>_xlfn.XLOOKUP(Infill[[#This Row],[XY-N]],Rating[N],Rating[Name])</f>
        <v>Normal</v>
      </c>
      <c r="Q2" t="str">
        <f>_xlfn.XLOOKUP(Infill[[#This Row],[XY-N]],Rating[N],Rating[level-to-better])</f>
        <v>![level-to-better-4](https://github.com/OrcaSlicer/OrcaSlicer_WIKI/blob/main/images/images/misc/level-to-better-4.svg?raw=true)</v>
      </c>
      <c r="R2">
        <v>4</v>
      </c>
      <c r="S2" t="str">
        <f>_xlfn.XLOOKUP(Infill[[#This Row],[Z-N]],Rating[N],Rating[Name])</f>
        <v>Normal</v>
      </c>
      <c r="T2" t="str">
        <f>_xlfn.XLOOKUP(Infill[[#This Row],[Z-N]],Rating[N],Rating[level-to-better])</f>
        <v>![level-to-better-4](https://github.com/OrcaSlicer/OrcaSlicer_WIKI/blob/main/images/images/misc/level-to-better-4.svg?raw=true)</v>
      </c>
      <c r="U2" s="11">
        <f ca="1">_xlfn.XLOOKUP(Infill[[#This Row],[infill]],Tabla7[infill],Tabla7[% 2 Sigma])</f>
        <v>2.6864815256315566E-3</v>
      </c>
      <c r="V2" t="str">
        <f ca="1">_xlfn.XLOOKUP(Infill[[#This Row],[% 2 Sigma]],AbsRating[Max %],AbsRating[Name],,1)</f>
        <v>None</v>
      </c>
      <c r="W2" t="str">
        <f ca="1">_xlfn.XLOOKUP(Infill[[#This Row],[% 2 Sigma]],AbsRating[Max %],AbsRating[icon],,1)</f>
        <v>🟢</v>
      </c>
      <c r="X2" s="2" t="s">
        <v>73</v>
      </c>
      <c r="Y2">
        <f>_xlfn.XLOOKUP(Infill[[#This Row],[infill]],Tabla7[infill],Tabla7[g])</f>
        <v>150.21100000000001</v>
      </c>
      <c r="Z2" s="2">
        <f>Infill[[#This Row],[g]]/(997.25*0.15)</f>
        <v>1.0041681290214757</v>
      </c>
      <c r="AA2" s="2" t="str">
        <f>_xlfn.XLOOKUP(Infill[[#This Row],[% Effective]],Rating[Max %],Rating[Name],,1)</f>
        <v>Normal</v>
      </c>
      <c r="AB2" s="2" t="str">
        <f>_xlfn.XLOOKUP(Infill[[#This Row],[% Effective]],Rating[Max %],Rating[level-to-worse],,1)</f>
        <v>![level-to-worse-4](https://github.com/OrcaSlicer/OrcaSlicer_WIKI/blob/main/images/images/misc/level-to-worse-4.svg?raw=true)</v>
      </c>
      <c r="AC2">
        <f>_xlfn.XLOOKUP(Infill[[#This Row],[infill]],Tabla7[infill],Tabla7[Total Time])</f>
        <v>245.49700000000001</v>
      </c>
      <c r="AD2" s="2">
        <f>Infill[[#This Row],[Total Time]]/AVERAGEIFS(Infill[Total Time],Infill[Material Usage Icon],_xlfn.XLOOKUP("Normal",Rating[Name],Rating[level-to-worse]))</f>
        <v>0.80587200041778739</v>
      </c>
      <c r="AE2" s="2" t="str">
        <f>_xlfn.XLOOKUP(Infill[[#This Row],[t prom]],Rating[Max %],Rating[Name],,1)</f>
        <v>Normal-Low</v>
      </c>
      <c r="AF2" s="2" t="str">
        <f>_xlfn.XLOOKUP(Infill[[#This Row],[t prom]],Rating[Max %],Rating[level-to-worse],,1)</f>
        <v>![level-to-worse-3](https://github.com/OrcaSlicer/OrcaSlicer_WIKI/blob/main/images/images/misc/level-to-worse-3.svg?raw=true)</v>
      </c>
      <c r="AG2" s="3">
        <f>Infill[[#This Row],[g]]/Infill[[#This Row],[Total Time]]</f>
        <v>0.61186491077284044</v>
      </c>
      <c r="AH2" s="2">
        <f>Infill[[#This Row],[g/t]]/AVERAGEIFS(Infill[g/t],Infill[Material Usage Icon],_xlfn.XLOOKUP("Normal",Rating[Name],Rating[level-to-worse]))</f>
        <v>1.123020472956076</v>
      </c>
      <c r="AI2" s="2" t="str">
        <f>_xlfn.XLOOKUP(Infill[[#This Row],[g/t prom]],Rating[Max %],Rating[Name],,1)</f>
        <v>Normal-High</v>
      </c>
      <c r="AJ2" s="2" t="str">
        <f>_xlfn.XLOOKUP(Infill[[#This Row],[g/t prom]],Rating[Max %],Rating[level-to-better],,1)</f>
        <v>![level-to-better-5](https://github.com/OrcaSlicer/OrcaSlicer_WIKI/blob/main/images/images/misc/level-to-better-5.svg?raw=true)</v>
      </c>
      <c r="AK2" s="2" t="str">
        <f>SUBSTITUTE(LOWER(Infill[[#This Row],[name]])," ","-")</f>
        <v>monotonic</v>
      </c>
      <c r="AL2" t="str">
        <f>"param_"&amp;Infill[[#This Row],[infill]]</f>
        <v>param_monotonic</v>
      </c>
      <c r="AM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N2" s="2" t="str">
        <f>"["&amp;Infill[[#This Row],[name]]&amp;"](#"&amp;Infill[[#This Row],[nameMD]]&amp;")"</f>
        <v>[Monotonic](#monotonic)</v>
      </c>
      <c r="AO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P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![level-to-better-4](https://github.com/OrcaSlicer/OrcaSlicer_WIKI/blob/main/images/images/misc/level-to-better-4.svg?raw=true)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N/A
- **Applies to:**
  - **[Solid Infill](strength_settings_infill#internal-solid-infill)**
  - **[Surface](strength_settings_top_bottom_shells)**
![infill-top-monotonic](https://github.com/OrcaSlicer/OrcaSlicer_WIKI/blob/main/images/fill/infill-top-monotonic.png?raw=true)
</v>
      </c>
      <c r="AQ2" t="str">
        <f>IF(OR(Infill[[#This Row],[Is Infill]],Infill[[#This Row],[Is Surface]])," { """&amp;Infill[[#This Row],[infill]]&amp;""", "&amp;Infill[[#This Row],[ip]]&amp;" },","")</f>
        <v xml:space="preserve"> { "monotonic", ipMonotonic },</v>
      </c>
      <c r="AR2" t="str">
        <f>IF(OR(Infill[[#This Row],[Is Infill]],Infill[[#This Row],[Is Surface]]),"def-&gt;enum_values.push_back("""&amp;Infill[[#This Row],[infill]]&amp;""");","")</f>
        <v>def-&gt;enum_values.push_back("monotonic");</v>
      </c>
      <c r="AS2" t="str">
        <f>IF(OR(Infill[[#This Row],[Is Infill]],Infill[[#This Row],[Is Surface]]),"def-&gt;enum_labels.push_back(L("""&amp;Infill[[#This Row],[name]]&amp;"""));","")</f>
        <v>def-&gt;enum_labels.push_back(L("Monotonic"));</v>
      </c>
      <c r="AU2" t="str">
        <f>Infill[[#This Row],[SVG Link]]</f>
        <v>&lt;img alt="param_monotonic" src="https://github.com/OrcaSlicer/OrcaSlicer/blob/main/resources/images/param_monotonic.svg?raw=true" height="45"&gt;</v>
      </c>
      <c r="AV2" s="1" t="str">
        <f>Infill[[#This Row],[Pattern]]</f>
        <v>[Monotonic](#monotonic)</v>
      </c>
      <c r="AW2" s="6" t="str">
        <f>"X-Y: "&amp;Infill[[#This Row],[X-Y Strength Icon]]&amp;"
Z: "&amp;Infill[[#This Row],[Z Strength Icon]]</f>
        <v>X-Y: ![level-to-better-4](https://github.com/OrcaSlicer/OrcaSlicer_WIKI/blob/main/images/images/misc/level-to-better-4.svg?raw=true)
Z: ![level-to-better-4](https://github.com/OrcaSlicer/OrcaSlicer_WIKI/blob/main/images/images/misc/level-to-better-4.svg?raw=true)</v>
      </c>
      <c r="AX2" s="1" t="str">
        <f>Infill[[#This Row],[Material Usage Icon]]</f>
        <v>![level-to-worse-4](https://github.com/OrcaSlicer/OrcaSlicer_WIKI/blob/main/images/images/misc/level-to-worse-4.svg?raw=true)</v>
      </c>
      <c r="AY2" s="1" t="str">
        <f>Infill[[#This Row],[Print Time Icon]]</f>
        <v>![level-to-worse-3](https://github.com/OrcaSlicer/OrcaSlicer_WIKI/blob/main/images/images/misc/level-to-worse-3.svg?raw=true)</v>
      </c>
      <c r="AZ2" t="str">
        <f ca="1">Infill[[#This Row],[Layer time Variability]]</f>
        <v>None</v>
      </c>
      <c r="BA2" s="1" t="str">
        <f>Infill[[#This Row],[Multiline]]</f>
        <v>N/A</v>
      </c>
    </row>
    <row r="3" spans="1:53" ht="285" x14ac:dyDescent="0.25">
      <c r="A3" t="s">
        <v>30</v>
      </c>
      <c r="B3" t="s">
        <v>33</v>
      </c>
      <c r="E3">
        <v>1</v>
      </c>
      <c r="F3" t="b">
        <v>0</v>
      </c>
      <c r="G3" t="b">
        <v>1</v>
      </c>
      <c r="H3" t="b">
        <v>0</v>
      </c>
      <c r="I3" t="s">
        <v>146</v>
      </c>
      <c r="J3" t="s">
        <v>153</v>
      </c>
      <c r="K3" t="s">
        <v>102</v>
      </c>
      <c r="L3" t="s">
        <v>143</v>
      </c>
      <c r="M3" t="s">
        <v>222</v>
      </c>
      <c r="N3" s="8" t="s">
        <v>172</v>
      </c>
      <c r="O3">
        <v>4</v>
      </c>
      <c r="P3" t="str">
        <f>_xlfn.XLOOKUP(Infill[[#This Row],[XY-N]],Rating[N],Rating[Name])</f>
        <v>Normal</v>
      </c>
      <c r="Q3" t="str">
        <f>_xlfn.XLOOKUP(Infill[[#This Row],[XY-N]],Rating[N],Rating[level-to-better])</f>
        <v>![level-to-better-4](https://github.com/OrcaSlicer/OrcaSlicer_WIKI/blob/main/images/images/misc/level-to-better-4.svg?raw=true)</v>
      </c>
      <c r="R3">
        <v>4</v>
      </c>
      <c r="S3" t="str">
        <f>_xlfn.XLOOKUP(Infill[[#This Row],[Z-N]],Rating[N],Rating[Name])</f>
        <v>Normal</v>
      </c>
      <c r="T3" t="str">
        <f>_xlfn.XLOOKUP(Infill[[#This Row],[Z-N]],Rating[N],Rating[level-to-better])</f>
        <v>![level-to-better-4](https://github.com/OrcaSlicer/OrcaSlicer_WIKI/blob/main/images/images/misc/level-to-better-4.svg?raw=true)</v>
      </c>
      <c r="U3" s="11">
        <f ca="1">_xlfn.XLOOKUP(Infill[[#This Row],[infill]],Tabla7[infill],Tabla7[% 2 Sigma])</f>
        <v>2.6864815256315566E-3</v>
      </c>
      <c r="V3" t="str">
        <f ca="1">_xlfn.XLOOKUP(Infill[[#This Row],[% 2 Sigma]],AbsRating[Max %],AbsRating[Name],,1)</f>
        <v>None</v>
      </c>
      <c r="W3" t="str">
        <f ca="1">_xlfn.XLOOKUP(Infill[[#This Row],[% 2 Sigma]],AbsRating[Max %],AbsRating[icon],,1)</f>
        <v>🟢</v>
      </c>
      <c r="X3" s="2" t="s">
        <v>73</v>
      </c>
      <c r="Y3">
        <f>_xlfn.XLOOKUP(Infill[[#This Row],[infill]],Tabla7[infill],Tabla7[g])</f>
        <v>150.21100000000001</v>
      </c>
      <c r="Z3" s="2">
        <f>Infill[[#This Row],[g]]/(997.25*0.15)</f>
        <v>1.0041681290214757</v>
      </c>
      <c r="AA3" s="2" t="str">
        <f>_xlfn.XLOOKUP(Infill[[#This Row],[% Effective]],Rating[Max %],Rating[Name],,1)</f>
        <v>Normal</v>
      </c>
      <c r="AB3" s="2" t="str">
        <f>_xlfn.XLOOKUP(Infill[[#This Row],[% Effective]],Rating[Max %],Rating[level-to-worse],,1)</f>
        <v>![level-to-worse-4](https://github.com/OrcaSlicer/OrcaSlicer_WIKI/blob/main/images/images/misc/level-to-worse-4.svg?raw=true)</v>
      </c>
      <c r="AC3">
        <f>_xlfn.XLOOKUP(Infill[[#This Row],[infill]],Tabla7[infill],Tabla7[Total Time])</f>
        <v>245.49700000000001</v>
      </c>
      <c r="AD3" s="2">
        <f>Infill[[#This Row],[Total Time]]/AVERAGEIFS(Infill[Total Time],Infill[Material Usage Icon],_xlfn.XLOOKUP("Normal",Rating[Name],Rating[level-to-worse]))</f>
        <v>0.80587200041778739</v>
      </c>
      <c r="AE3" s="2" t="str">
        <f>_xlfn.XLOOKUP(Infill[[#This Row],[t prom]],Rating[Max %],Rating[Name],,1)</f>
        <v>Normal-Low</v>
      </c>
      <c r="AF3" s="2" t="str">
        <f>_xlfn.XLOOKUP(Infill[[#This Row],[t prom]],Rating[Max %],Rating[level-to-worse],,1)</f>
        <v>![level-to-worse-3](https://github.com/OrcaSlicer/OrcaSlicer_WIKI/blob/main/images/images/misc/level-to-worse-3.svg?raw=true)</v>
      </c>
      <c r="AG3" s="3">
        <f>Infill[[#This Row],[g]]/Infill[[#This Row],[Total Time]]</f>
        <v>0.61186491077284044</v>
      </c>
      <c r="AH3" s="2">
        <f>Infill[[#This Row],[g/t]]/AVERAGEIFS(Infill[g/t],Infill[Material Usage Icon],_xlfn.XLOOKUP("Normal",Rating[Name],Rating[level-to-worse]))</f>
        <v>1.123020472956076</v>
      </c>
      <c r="AI3" s="2" t="str">
        <f>_xlfn.XLOOKUP(Infill[[#This Row],[g/t prom]],Rating[Max %],Rating[Name],,1)</f>
        <v>Normal-High</v>
      </c>
      <c r="AJ3" s="2" t="str">
        <f>_xlfn.XLOOKUP(Infill[[#This Row],[g/t prom]],Rating[Max %],Rating[level-to-better],,1)</f>
        <v>![level-to-better-5](https://github.com/OrcaSlicer/OrcaSlicer_WIKI/blob/main/images/images/misc/level-to-better-5.svg?raw=true)</v>
      </c>
      <c r="AK3" s="2" t="str">
        <f>SUBSTITUTE(LOWER(Infill[[#This Row],[name]])," ","-")</f>
        <v>monotonic-line</v>
      </c>
      <c r="AL3" t="str">
        <f>"param_"&amp;Infill[[#This Row],[infill]]</f>
        <v>param_monotonicline</v>
      </c>
      <c r="AM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N3" s="2" t="str">
        <f>"["&amp;Infill[[#This Row],[name]]&amp;"](#"&amp;Infill[[#This Row],[nameMD]]&amp;")"</f>
        <v>[Monotonic line](#monotonic-line)</v>
      </c>
      <c r="AO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P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![level-to-better-4](https://github.com/OrcaSlicer/OrcaSlicer_WIKI/blob/main/images/images/misc/level-to-better-4.svg?raw=true)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N/A
- **Applies to:**
  - **[Solid Infill](strength_settings_infill#internal-solid-infill)**
  - **[Surface](strength_settings_top_bottom_shells)**
![infill-top-monotonic-line](https://github.com/OrcaSlicer/OrcaSlicer_WIKI/blob/main/images/fill/infill-top-monotonic-line.png?raw=true)
</v>
      </c>
      <c r="AQ3" t="str">
        <f>IF(OR(Infill[[#This Row],[Is Infill]],Infill[[#This Row],[Is Surface]])," { """&amp;Infill[[#This Row],[infill]]&amp;""", "&amp;Infill[[#This Row],[ip]]&amp;" },","")</f>
        <v xml:space="preserve"> { "monotonicline", ipMonotonicLine },</v>
      </c>
      <c r="AR3" t="str">
        <f>IF(OR(Infill[[#This Row],[Is Infill]],Infill[[#This Row],[Is Surface]]),"def-&gt;enum_values.push_back("""&amp;Infill[[#This Row],[infill]]&amp;""");","")</f>
        <v>def-&gt;enum_values.push_back("monotonicline");</v>
      </c>
      <c r="AS3" t="str">
        <f>IF(OR(Infill[[#This Row],[Is Infill]],Infill[[#This Row],[Is Surface]]),"def-&gt;enum_labels.push_back(L("""&amp;Infill[[#This Row],[name]]&amp;"""));","")</f>
        <v>def-&gt;enum_labels.push_back(L("Monotonic line"));</v>
      </c>
      <c r="AU3" t="str">
        <f>Infill[[#This Row],[SVG Link]]</f>
        <v>&lt;img alt="param_monotonicline" src="https://github.com/OrcaSlicer/OrcaSlicer/blob/main/resources/images/param_monotonicline.svg?raw=true" height="45"&gt;</v>
      </c>
      <c r="AV3" s="1" t="str">
        <f>Infill[[#This Row],[Pattern]]</f>
        <v>[Monotonic line](#monotonic-line)</v>
      </c>
      <c r="AW3" s="6" t="str">
        <f>"X-Y: "&amp;Infill[[#This Row],[X-Y Strength Icon]]&amp;"
Z: "&amp;Infill[[#This Row],[Z Strength Icon]]</f>
        <v>X-Y: ![level-to-better-4](https://github.com/OrcaSlicer/OrcaSlicer_WIKI/blob/main/images/images/misc/level-to-better-4.svg?raw=true)
Z: ![level-to-better-4](https://github.com/OrcaSlicer/OrcaSlicer_WIKI/blob/main/images/images/misc/level-to-better-4.svg?raw=true)</v>
      </c>
      <c r="AX3" s="1" t="str">
        <f>Infill[[#This Row],[Material Usage Icon]]</f>
        <v>![level-to-worse-4](https://github.com/OrcaSlicer/OrcaSlicer_WIKI/blob/main/images/images/misc/level-to-worse-4.svg?raw=true)</v>
      </c>
      <c r="AY3" s="1" t="str">
        <f>Infill[[#This Row],[Print Time Icon]]</f>
        <v>![level-to-worse-3](https://github.com/OrcaSlicer/OrcaSlicer_WIKI/blob/main/images/images/misc/level-to-worse-3.svg?raw=true)</v>
      </c>
      <c r="AZ3" t="str">
        <f ca="1">Infill[[#This Row],[Layer time Variability]]</f>
        <v>None</v>
      </c>
      <c r="BA3" s="1" t="str">
        <f>Infill[[#This Row],[Multiline]]</f>
        <v>N/A</v>
      </c>
    </row>
    <row r="4" spans="1:53" ht="315" x14ac:dyDescent="0.25">
      <c r="A4" t="s">
        <v>31</v>
      </c>
      <c r="B4" s="2">
        <v>0.15</v>
      </c>
      <c r="E4">
        <v>2</v>
      </c>
      <c r="F4" t="b">
        <v>1</v>
      </c>
      <c r="G4" t="b">
        <v>1</v>
      </c>
      <c r="H4" t="b">
        <v>1</v>
      </c>
      <c r="I4" t="s">
        <v>1</v>
      </c>
      <c r="J4" t="s">
        <v>1</v>
      </c>
      <c r="K4" t="s">
        <v>91</v>
      </c>
      <c r="L4" t="s">
        <v>161</v>
      </c>
      <c r="M4" t="s">
        <v>224</v>
      </c>
      <c r="N4" s="6" t="s">
        <v>82</v>
      </c>
      <c r="O4">
        <v>3</v>
      </c>
      <c r="P4" t="str">
        <f>_xlfn.XLOOKUP(Infill[[#This Row],[XY-N]],Rating[N],Rating[Name])</f>
        <v>Normal-Low</v>
      </c>
      <c r="Q4" t="str">
        <f>_xlfn.XLOOKUP(Infill[[#This Row],[XY-N]],Rating[N],Rating[level-to-better])</f>
        <v>![level-to-better-3](https://github.com/OrcaSlicer/OrcaSlicer_WIKI/blob/main/images/images/misc/level-to-better-3.svg?raw=true)</v>
      </c>
      <c r="R4">
        <v>2</v>
      </c>
      <c r="S4" t="str">
        <f>_xlfn.XLOOKUP(Infill[[#This Row],[Z-N]],Rating[N],Rating[Name])</f>
        <v>Low</v>
      </c>
      <c r="T4" t="str">
        <f>_xlfn.XLOOKUP(Infill[[#This Row],[Z-N]],Rating[N],Rating[level-to-better])</f>
        <v>![level-to-better-2](https://github.com/OrcaSlicer/OrcaSlicer_WIKI/blob/main/images/images/misc/level-to-better-2.svg?raw=true)</v>
      </c>
      <c r="U4" s="11">
        <f ca="1">_xlfn.XLOOKUP(Infill[[#This Row],[infill]],Tabla7[infill],Tabla7[% 2 Sigma])</f>
        <v>1.4326697941560385E-2</v>
      </c>
      <c r="V4" t="str">
        <f ca="1">_xlfn.XLOOKUP(Infill[[#This Row],[% 2 Sigma]],AbsRating[Max %],AbsRating[Name],,1)</f>
        <v>Unnoticeable</v>
      </c>
      <c r="W4" t="str">
        <f ca="1">_xlfn.XLOOKUP(Infill[[#This Row],[% 2 Sigma]],AbsRating[Max %],AbsRating[icon],,1)</f>
        <v>🔵</v>
      </c>
      <c r="X4" s="2" t="s">
        <v>73</v>
      </c>
      <c r="Y4">
        <f>_xlfn.XLOOKUP(Infill[[#This Row],[infill]],Tabla7[infill],Tabla7[g])</f>
        <v>150.09299999999999</v>
      </c>
      <c r="Z4" s="2">
        <f>Infill[[#This Row],[g]]/(997.25*0.15)</f>
        <v>1.0033792930559036</v>
      </c>
      <c r="AA4" s="2" t="str">
        <f>_xlfn.XLOOKUP(Infill[[#This Row],[% Effective]],Rating[Max %],Rating[Name],,1)</f>
        <v>Normal</v>
      </c>
      <c r="AB4" s="2" t="str">
        <f>_xlfn.XLOOKUP(Infill[[#This Row],[% Effective]],Rating[Max %],Rating[level-to-worse],,1)</f>
        <v>![level-to-worse-4](https://github.com/OrcaSlicer/OrcaSlicer_WIKI/blob/main/images/images/misc/level-to-worse-4.svg?raw=true)</v>
      </c>
      <c r="AC4">
        <f>_xlfn.XLOOKUP(Infill[[#This Row],[infill]],Tabla7[infill],Tabla7[Total Time])</f>
        <v>245.78899999999999</v>
      </c>
      <c r="AD4" s="2">
        <f>Infill[[#This Row],[Total Time]]/AVERAGEIFS(Infill[Total Time],Infill[Material Usage Icon],_xlfn.XLOOKUP("Normal",Rating[Name],Rating[level-to-worse]))</f>
        <v>0.80683052383812237</v>
      </c>
      <c r="AE4" s="2" t="str">
        <f>_xlfn.XLOOKUP(Infill[[#This Row],[t prom]],Rating[Max %],Rating[Name],,1)</f>
        <v>Normal-Low</v>
      </c>
      <c r="AF4" s="2" t="str">
        <f>_xlfn.XLOOKUP(Infill[[#This Row],[t prom]],Rating[Max %],Rating[level-to-worse],,1)</f>
        <v>![level-to-worse-3](https://github.com/OrcaSlicer/OrcaSlicer_WIKI/blob/main/images/images/misc/level-to-worse-3.svg?raw=true)</v>
      </c>
      <c r="AG4" s="3">
        <f>Infill[[#This Row],[g]]/Infill[[#This Row],[Total Time]]</f>
        <v>0.61065792203882185</v>
      </c>
      <c r="AH4" s="2">
        <f>Infill[[#This Row],[g/t]]/AVERAGEIFS(Infill[g/t],Infill[Material Usage Icon],_xlfn.XLOOKUP("Normal",Rating[Name],Rating[level-to-worse]))</f>
        <v>1.1208051587011398</v>
      </c>
      <c r="AI4" s="2" t="str">
        <f>_xlfn.XLOOKUP(Infill[[#This Row],[g/t prom]],Rating[Max %],Rating[Name],,1)</f>
        <v>Normal-High</v>
      </c>
      <c r="AJ4" s="1" t="str">
        <f>_xlfn.XLOOKUP(Infill[[#This Row],[g/t prom]],Rating[Max %],Rating[level-to-better],,1)</f>
        <v>![level-to-better-5](https://github.com/OrcaSlicer/OrcaSlicer_WIKI/blob/main/images/images/misc/level-to-better-5.svg?raw=true)</v>
      </c>
      <c r="AK4" s="2" t="str">
        <f>SUBSTITUTE(LOWER(Infill[[#This Row],[name]])," ","-")</f>
        <v>rectilinear</v>
      </c>
      <c r="AL4" t="str">
        <f>"param_"&amp;Infill[[#This Row],[infill]]</f>
        <v>param_rectilinear</v>
      </c>
      <c r="AM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N4" s="2" t="str">
        <f>"["&amp;Infill[[#This Row],[name]]&amp;"](#"&amp;Infill[[#This Row],[nameMD]]&amp;")"</f>
        <v>[Rectilinear](#rectilinear)</v>
      </c>
      <c r="AO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P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![level-to-better-3](https://github.com/OrcaSlicer/OrcaSlicer_WIKI/blob/main/images/images/misc/level-to-better-3.svg?raw=true)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Q4" t="str">
        <f>IF(OR(Infill[[#This Row],[Is Infill]],Infill[[#This Row],[Is Surface]])," { """&amp;Infill[[#This Row],[infill]]&amp;""", "&amp;Infill[[#This Row],[ip]]&amp;" },","")</f>
        <v xml:space="preserve"> { "rectilinear", ipRectilinear },</v>
      </c>
      <c r="AR4" t="str">
        <f>IF(OR(Infill[[#This Row],[Is Infill]],Infill[[#This Row],[Is Surface]]),"def-&gt;enum_values.push_back("""&amp;Infill[[#This Row],[infill]]&amp;""");","")</f>
        <v>def-&gt;enum_values.push_back("rectilinear");</v>
      </c>
      <c r="AS4" t="str">
        <f>IF(OR(Infill[[#This Row],[Is Infill]],Infill[[#This Row],[Is Surface]]),"def-&gt;enum_labels.push_back(L("""&amp;Infill[[#This Row],[name]]&amp;"""));","")</f>
        <v>def-&gt;enum_labels.push_back(L("Rectilinear"));</v>
      </c>
      <c r="AU4" t="str">
        <f>Infill[[#This Row],[SVG Link]]</f>
        <v>&lt;img alt="param_rectilinear" src="https://github.com/OrcaSlicer/OrcaSlicer/blob/main/resources/images/param_rectilinear.svg?raw=true" height="45"&gt;</v>
      </c>
      <c r="AV4" s="1" t="str">
        <f>Infill[[#This Row],[Pattern]]</f>
        <v>[Rectilinear](#rectilinear)</v>
      </c>
      <c r="AW4" s="6" t="str">
        <f>"X-Y: "&amp;Infill[[#This Row],[X-Y Strength Icon]]&amp;"
Z: "&amp;Infill[[#This Row],[Z Strength Icon]]</f>
        <v>X-Y: ![level-to-better-3](https://github.com/OrcaSlicer/OrcaSlicer_WIKI/blob/main/images/images/misc/level-to-better-3.svg?raw=true)
Z: ![level-to-better-2](https://github.com/OrcaSlicer/OrcaSlicer_WIKI/blob/main/images/images/misc/level-to-better-2.svg?raw=true)</v>
      </c>
      <c r="AX4" s="1" t="str">
        <f>Infill[[#This Row],[Material Usage Icon]]</f>
        <v>![level-to-worse-4](https://github.com/OrcaSlicer/OrcaSlicer_WIKI/blob/main/images/images/misc/level-to-worse-4.svg?raw=true)</v>
      </c>
      <c r="AY4" s="1" t="str">
        <f>Infill[[#This Row],[Print Time Icon]]</f>
        <v>![level-to-worse-3](https://github.com/OrcaSlicer/OrcaSlicer_WIKI/blob/main/images/images/misc/level-to-worse-3.svg?raw=true)</v>
      </c>
      <c r="AZ4" t="str">
        <f ca="1">Infill[[#This Row],[Layer time Variability]]</f>
        <v>Unnoticeable</v>
      </c>
      <c r="BA4" s="1" t="str">
        <f>Infill[[#This Row],[Multiline]]</f>
        <v>[Classic](strength_settings_infill#classic-strategy)</v>
      </c>
    </row>
    <row r="5" spans="1:53" ht="315" x14ac:dyDescent="0.25">
      <c r="A5" t="s">
        <v>47</v>
      </c>
      <c r="B5" t="s">
        <v>48</v>
      </c>
      <c r="E5">
        <v>3</v>
      </c>
      <c r="F5" t="b">
        <v>1</v>
      </c>
      <c r="G5" t="b">
        <v>1</v>
      </c>
      <c r="H5" t="b">
        <v>0</v>
      </c>
      <c r="I5" t="s">
        <v>11</v>
      </c>
      <c r="J5" t="s">
        <v>1</v>
      </c>
      <c r="K5" t="s">
        <v>103</v>
      </c>
      <c r="L5" t="s">
        <v>130</v>
      </c>
      <c r="M5" t="s">
        <v>224</v>
      </c>
      <c r="N5" s="6" t="s">
        <v>59</v>
      </c>
      <c r="O5">
        <v>3</v>
      </c>
      <c r="P5" t="str">
        <f>_xlfn.XLOOKUP(Infill[[#This Row],[XY-N]],Rating[N],Rating[Name])</f>
        <v>Normal-Low</v>
      </c>
      <c r="Q5" t="str">
        <f>_xlfn.XLOOKUP(Infill[[#This Row],[XY-N]],Rating[N],Rating[level-to-better])</f>
        <v>![level-to-better-3](https://github.com/OrcaSlicer/OrcaSlicer_WIKI/blob/main/images/images/misc/level-to-better-3.svg?raw=true)</v>
      </c>
      <c r="R5">
        <v>4</v>
      </c>
      <c r="S5" t="str">
        <f>_xlfn.XLOOKUP(Infill[[#This Row],[Z-N]],Rating[N],Rating[Name])</f>
        <v>Normal</v>
      </c>
      <c r="T5" t="str">
        <f>_xlfn.XLOOKUP(Infill[[#This Row],[Z-N]],Rating[N],Rating[level-to-better])</f>
        <v>![level-to-better-4](https://github.com/OrcaSlicer/OrcaSlicer_WIKI/blob/main/images/images/misc/level-to-better-4.svg?raw=true)</v>
      </c>
      <c r="U5" s="11">
        <f ca="1">_xlfn.XLOOKUP(Infill[[#This Row],[infill]],Tabla7[infill],Tabla7[% 2 Sigma])</f>
        <v>1.0847178053471573E-2</v>
      </c>
      <c r="V5" t="str">
        <f ca="1">_xlfn.XLOOKUP(Infill[[#This Row],[% 2 Sigma]],AbsRating[Max %],AbsRating[Name],,1)</f>
        <v>Unnoticeable</v>
      </c>
      <c r="W5" t="str">
        <f ca="1">_xlfn.XLOOKUP(Infill[[#This Row],[% 2 Sigma]],AbsRating[Max %],AbsRating[icon],,1)</f>
        <v>🔵</v>
      </c>
      <c r="X5" s="2" t="s">
        <v>73</v>
      </c>
      <c r="Y5">
        <f>_xlfn.XLOOKUP(Infill[[#This Row],[infill]],Tabla7[infill],Tabla7[g])</f>
        <v>150.09299999999999</v>
      </c>
      <c r="Z5" s="2">
        <f>Infill[[#This Row],[g]]/(997.25*0.15)</f>
        <v>1.0033792930559036</v>
      </c>
      <c r="AA5" s="2" t="str">
        <f>_xlfn.XLOOKUP(Infill[[#This Row],[% Effective]],Rating[Max %],Rating[Name],,1)</f>
        <v>Normal</v>
      </c>
      <c r="AB5" s="2" t="str">
        <f>_xlfn.XLOOKUP(Infill[[#This Row],[% Effective]],Rating[Max %],Rating[level-to-worse],,1)</f>
        <v>![level-to-worse-4](https://github.com/OrcaSlicer/OrcaSlicer_WIKI/blob/main/images/images/misc/level-to-worse-4.svg?raw=true)</v>
      </c>
      <c r="AC5">
        <f>_xlfn.XLOOKUP(Infill[[#This Row],[infill]],Tabla7[infill],Tabla7[Total Time])</f>
        <v>247.04499999999999</v>
      </c>
      <c r="AD5" s="2">
        <f>Infill[[#This Row],[Total Time]]/AVERAGEIFS(Infill[Total Time],Infill[Material Usage Icon],_xlfn.XLOOKUP("Normal",Rating[Name],Rating[level-to-worse]))</f>
        <v>0.81095348759134434</v>
      </c>
      <c r="AE5" s="2" t="str">
        <f>_xlfn.XLOOKUP(Infill[[#This Row],[t prom]],Rating[Max %],Rating[Name],,1)</f>
        <v>Normal-Low</v>
      </c>
      <c r="AF5" s="2" t="str">
        <f>_xlfn.XLOOKUP(Infill[[#This Row],[t prom]],Rating[Max %],Rating[level-to-worse],,1)</f>
        <v>![level-to-worse-3](https://github.com/OrcaSlicer/OrcaSlicer_WIKI/blob/main/images/images/misc/level-to-worse-3.svg?raw=true)</v>
      </c>
      <c r="AG5" s="3">
        <f>Infill[[#This Row],[g]]/Infill[[#This Row],[Total Time]]</f>
        <v>0.60755327976684403</v>
      </c>
      <c r="AH5" s="2">
        <f>Infill[[#This Row],[g/t]]/AVERAGEIFS(Infill[g/t],Infill[Material Usage Icon],_xlfn.XLOOKUP("Normal",Rating[Name],Rating[level-to-worse]))</f>
        <v>1.1151068799287356</v>
      </c>
      <c r="AI5" s="2" t="str">
        <f>_xlfn.XLOOKUP(Infill[[#This Row],[g/t prom]],Rating[Max %],Rating[Name],,1)</f>
        <v>Normal-High</v>
      </c>
      <c r="AJ5" s="1" t="str">
        <f>_xlfn.XLOOKUP(Infill[[#This Row],[g/t prom]],Rating[Max %],Rating[level-to-better],,1)</f>
        <v>![level-to-better-5](https://github.com/OrcaSlicer/OrcaSlicer_WIKI/blob/main/images/images/misc/level-to-better-5.svg?raw=true)</v>
      </c>
      <c r="AK5" s="2" t="str">
        <f>SUBSTITUTE(LOWER(Infill[[#This Row],[name]])," ","-")</f>
        <v>aligned-rectilinear</v>
      </c>
      <c r="AL5" t="str">
        <f>"param_"&amp;Infill[[#This Row],[infill]]</f>
        <v>param_alignedrectilinear</v>
      </c>
      <c r="AM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N5" s="2" t="str">
        <f>"["&amp;Infill[[#This Row],[name]]&amp;"](#"&amp;Infill[[#This Row],[nameMD]]&amp;")"</f>
        <v>[Aligned Rectilinear](#aligned-rectilinear)</v>
      </c>
      <c r="AO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![level-to-better-3](https://github.com/OrcaSlicer/OrcaSlicer_WIKI/blob/main/images/images/misc/level-to-better-3.svg?raw=true)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Q5" t="str">
        <f>IF(OR(Infill[[#This Row],[Is Infill]],Infill[[#This Row],[Is Surface]])," { """&amp;Infill[[#This Row],[infill]]&amp;""", "&amp;Infill[[#This Row],[ip]]&amp;" },","")</f>
        <v xml:space="preserve"> { "alignedrectilinear", ipAlignedRectilinear },</v>
      </c>
      <c r="AR5" t="str">
        <f>IF(OR(Infill[[#This Row],[Is Infill]],Infill[[#This Row],[Is Surface]]),"def-&gt;enum_values.push_back("""&amp;Infill[[#This Row],[infill]]&amp;""");","")</f>
        <v>def-&gt;enum_values.push_back("alignedrectilinear");</v>
      </c>
      <c r="AS5" t="str">
        <f>IF(OR(Infill[[#This Row],[Is Infill]],Infill[[#This Row],[Is Surface]]),"def-&gt;enum_labels.push_back(L("""&amp;Infill[[#This Row],[name]]&amp;"""));","")</f>
        <v>def-&gt;enum_labels.push_back(L("Aligned Rectilinear"));</v>
      </c>
      <c r="AU5" t="str">
        <f>Infill[[#This Row],[SVG Link]]</f>
        <v>&lt;img alt="param_alignedrectilinear" src="https://github.com/OrcaSlicer/OrcaSlicer/blob/main/resources/images/param_alignedrectilinear.svg?raw=true" height="45"&gt;</v>
      </c>
      <c r="AV5" s="1" t="str">
        <f>Infill[[#This Row],[Pattern]]</f>
        <v>[Aligned Rectilinear](#aligned-rectilinear)</v>
      </c>
      <c r="AW5" s="6" t="str">
        <f>"X-Y: "&amp;Infill[[#This Row],[X-Y Strength Icon]]&amp;"
Z: "&amp;Infill[[#This Row],[Z Strength Icon]]</f>
        <v>X-Y: ![level-to-better-3](https://github.com/OrcaSlicer/OrcaSlicer_WIKI/blob/main/images/images/misc/level-to-better-3.svg?raw=true)
Z: ![level-to-better-4](https://github.com/OrcaSlicer/OrcaSlicer_WIKI/blob/main/images/images/misc/level-to-better-4.svg?raw=true)</v>
      </c>
      <c r="AX5" s="1" t="str">
        <f>Infill[[#This Row],[Material Usage Icon]]</f>
        <v>![level-to-worse-4](https://github.com/OrcaSlicer/OrcaSlicer_WIKI/blob/main/images/images/misc/level-to-worse-4.svg?raw=true)</v>
      </c>
      <c r="AY5" s="1" t="str">
        <f>Infill[[#This Row],[Print Time Icon]]</f>
        <v>![level-to-worse-3](https://github.com/OrcaSlicer/OrcaSlicer_WIKI/blob/main/images/images/misc/level-to-worse-3.svg?raw=true)</v>
      </c>
      <c r="AZ5" t="str">
        <f ca="1">Infill[[#This Row],[Layer time Variability]]</f>
        <v>Unnoticeable</v>
      </c>
      <c r="BA5" s="1" t="str">
        <f>Infill[[#This Row],[Multiline]]</f>
        <v>[Classic](strength_settings_infill#classic-strategy)</v>
      </c>
    </row>
    <row r="6" spans="1:53" ht="270" x14ac:dyDescent="0.25">
      <c r="A6" t="s">
        <v>32</v>
      </c>
      <c r="B6" t="s">
        <v>34</v>
      </c>
      <c r="E6">
        <v>4</v>
      </c>
      <c r="F6" t="b">
        <v>1</v>
      </c>
      <c r="G6" t="b">
        <v>0</v>
      </c>
      <c r="H6" t="b">
        <v>0</v>
      </c>
      <c r="I6" t="s">
        <v>77</v>
      </c>
      <c r="J6" t="s">
        <v>1</v>
      </c>
      <c r="K6" t="s">
        <v>114</v>
      </c>
      <c r="L6" t="s">
        <v>139</v>
      </c>
      <c r="M6" t="s">
        <v>223</v>
      </c>
      <c r="N6" s="8" t="s">
        <v>87</v>
      </c>
      <c r="O6">
        <v>3</v>
      </c>
      <c r="P6" t="str">
        <f>_xlfn.XLOOKUP(Infill[[#This Row],[XY-N]],Rating[N],Rating[Name])</f>
        <v>Normal-Low</v>
      </c>
      <c r="Q6" t="str">
        <f>_xlfn.XLOOKUP(Infill[[#This Row],[XY-N]],Rating[N],Rating[level-to-better])</f>
        <v>![level-to-better-3](https://github.com/OrcaSlicer/OrcaSlicer_WIKI/blob/main/images/images/misc/level-to-better-3.svg?raw=true)</v>
      </c>
      <c r="R6">
        <v>2</v>
      </c>
      <c r="S6" t="str">
        <f>_xlfn.XLOOKUP(Infill[[#This Row],[Z-N]],Rating[N],Rating[Name])</f>
        <v>Low</v>
      </c>
      <c r="T6" t="str">
        <f>_xlfn.XLOOKUP(Infill[[#This Row],[Z-N]],Rating[N],Rating[level-to-better])</f>
        <v>![level-to-better-2](https://github.com/OrcaSlicer/OrcaSlicer_WIKI/blob/main/images/images/misc/level-to-better-2.svg?raw=true)</v>
      </c>
      <c r="U6" s="11">
        <f ca="1">_xlfn.XLOOKUP(Infill[[#This Row],[infill]],Tabla7[infill],Tabla7[% 2 Sigma])</f>
        <v>1.5069904867348161E-2</v>
      </c>
      <c r="V6" t="str">
        <f ca="1">_xlfn.XLOOKUP(Infill[[#This Row],[% 2 Sigma]],AbsRating[Max %],AbsRating[Name],,1)</f>
        <v>Unnoticeable</v>
      </c>
      <c r="W6" t="str">
        <f ca="1">_xlfn.XLOOKUP(Infill[[#This Row],[% 2 Sigma]],AbsRating[Max %],AbsRating[icon],,1)</f>
        <v>🔵</v>
      </c>
      <c r="X6" s="2" t="s">
        <v>73</v>
      </c>
      <c r="Y6">
        <f>_xlfn.XLOOKUP(Infill[[#This Row],[infill]],Tabla7[infill],Tabla7[g])</f>
        <v>150.09299999999999</v>
      </c>
      <c r="Z6" s="2">
        <f>Infill[[#This Row],[g]]/(997.25*0.15)</f>
        <v>1.0033792930559036</v>
      </c>
      <c r="AA6" s="2" t="str">
        <f>_xlfn.XLOOKUP(Infill[[#This Row],[% Effective]],Rating[Max %],Rating[Name],,1)</f>
        <v>Normal</v>
      </c>
      <c r="AB6" s="2" t="str">
        <f>_xlfn.XLOOKUP(Infill[[#This Row],[% Effective]],Rating[Max %],Rating[level-to-worse],,1)</f>
        <v>![level-to-worse-4](https://github.com/OrcaSlicer/OrcaSlicer_WIKI/blob/main/images/images/misc/level-to-worse-4.svg?raw=true)</v>
      </c>
      <c r="AC6">
        <f>_xlfn.XLOOKUP(Infill[[#This Row],[infill]],Tabla7[infill],Tabla7[Total Time])</f>
        <v>245.685</v>
      </c>
      <c r="AD6" s="2">
        <f>Infill[[#This Row],[Total Time]]/AVERAGEIFS(Infill[Total Time],Infill[Material Usage Icon],_xlfn.XLOOKUP("Normal",Rating[Name],Rating[level-to-worse]))</f>
        <v>0.80648913193498939</v>
      </c>
      <c r="AE6" s="2" t="str">
        <f>_xlfn.XLOOKUP(Infill[[#This Row],[t prom]],Rating[Max %],Rating[Name],,1)</f>
        <v>Normal-Low</v>
      </c>
      <c r="AF6" s="2" t="str">
        <f>_xlfn.XLOOKUP(Infill[[#This Row],[t prom]],Rating[Max %],Rating[level-to-worse],,1)</f>
        <v>![level-to-worse-3](https://github.com/OrcaSlicer/OrcaSlicer_WIKI/blob/main/images/images/misc/level-to-worse-3.svg?raw=true)</v>
      </c>
      <c r="AG6" s="3">
        <f>Infill[[#This Row],[g]]/Infill[[#This Row],[Total Time]]</f>
        <v>0.61091641736369739</v>
      </c>
      <c r="AH6" s="2">
        <f>Infill[[#This Row],[g/t]]/AVERAGEIFS(Infill[g/t],Infill[Material Usage Icon],_xlfn.XLOOKUP("Normal",Rating[Name],Rating[level-to-worse]))</f>
        <v>1.1212796025479557</v>
      </c>
      <c r="AI6" s="2" t="str">
        <f>_xlfn.XLOOKUP(Infill[[#This Row],[g/t prom]],Rating[Max %],Rating[Name],,1)</f>
        <v>Normal-High</v>
      </c>
      <c r="AJ6" s="1" t="str">
        <f>_xlfn.XLOOKUP(Infill[[#This Row],[g/t prom]],Rating[Max %],Rating[level-to-better],,1)</f>
        <v>![level-to-better-5](https://github.com/OrcaSlicer/OrcaSlicer_WIKI/blob/main/images/images/misc/level-to-better-5.svg?raw=true)</v>
      </c>
      <c r="AK6" s="2" t="str">
        <f>SUBSTITUTE(LOWER(Infill[[#This Row],[name]])," ","-")</f>
        <v>zig-zag</v>
      </c>
      <c r="AL6" t="str">
        <f>"param_"&amp;Infill[[#This Row],[infill]]</f>
        <v>param_zigzag</v>
      </c>
      <c r="AM6" t="str">
        <f>"&lt;img alt=""" &amp; Infill[[#This Row],[SVG]] &amp; """ src=""https://github.com/OrcaSlicer/OrcaSlicer/blob/main/resources/images/" &amp; Infill[[#This Row],[SVG]] &amp; ".svg?raw=true"" height=""45""&gt;"</f>
        <v>&lt;img alt="param_zigzag" src="https://github.com/OrcaSlicer/OrcaSlicer/blob/main/resources/images/param_zigzag.svg?raw=true" height="45"&gt;</v>
      </c>
      <c r="AN6" s="2" t="str">
        <f>"["&amp;Infill[[#This Row],[name]]&amp;"](#"&amp;Infill[[#This Row],[nameMD]]&amp;")"</f>
        <v>[Zig Zag](#zig-zag)</v>
      </c>
      <c r="AO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Allows you to add a Symmetric infill Y axis for models with two symmetric parts.
- **Strength**
  - **Horizontal (X-Y):** Normal-Low ![level-to-better-3](https://github.com/OrcaSlicer/OrcaSlicer_WIKI/blob/main/images/images/misc/level-to-better-3.svg?raw=true)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No
- **Applies to:**
  - **[Sparse Infill](strength_settings_infill#sparse-infill-density)**
![infill-top-zig-zag](https://github.com/OrcaSlicer/OrcaSlicer_WIKI/blob/main/images/fill/infill-top-zig-zag.png?raw=true)
</v>
      </c>
      <c r="AQ6" t="str">
        <f>IF(OR(Infill[[#This Row],[Is Infill]],Infill[[#This Row],[Is Surface]])," { """&amp;Infill[[#This Row],[infill]]&amp;""", "&amp;Infill[[#This Row],[ip]]&amp;" },","")</f>
        <v xml:space="preserve"> { "zigzag", ipZigZag },</v>
      </c>
      <c r="AR6" t="str">
        <f>IF(OR(Infill[[#This Row],[Is Infill]],Infill[[#This Row],[Is Surface]]),"def-&gt;enum_values.push_back("""&amp;Infill[[#This Row],[infill]]&amp;""");","")</f>
        <v>def-&gt;enum_values.push_back("zigzag");</v>
      </c>
      <c r="AS6" t="str">
        <f>IF(OR(Infill[[#This Row],[Is Infill]],Infill[[#This Row],[Is Surface]]),"def-&gt;enum_labels.push_back(L("""&amp;Infill[[#This Row],[name]]&amp;"""));","")</f>
        <v>def-&gt;enum_labels.push_back(L("Zig Zag"));</v>
      </c>
      <c r="AU6" t="str">
        <f>Infill[[#This Row],[SVG Link]]</f>
        <v>&lt;img alt="param_zigzag" src="https://github.com/OrcaSlicer/OrcaSlicer/blob/main/resources/images/param_zigzag.svg?raw=true" height="45"&gt;</v>
      </c>
      <c r="AV6" s="1" t="str">
        <f>Infill[[#This Row],[Pattern]]</f>
        <v>[Zig Zag](#zig-zag)</v>
      </c>
      <c r="AW6" s="6" t="str">
        <f>"X-Y: "&amp;Infill[[#This Row],[X-Y Strength Icon]]&amp;"
Z: "&amp;Infill[[#This Row],[Z Strength Icon]]</f>
        <v>X-Y: ![level-to-better-3](https://github.com/OrcaSlicer/OrcaSlicer_WIKI/blob/main/images/images/misc/level-to-better-3.svg?raw=true)
Z: ![level-to-better-2](https://github.com/OrcaSlicer/OrcaSlicer_WIKI/blob/main/images/images/misc/level-to-better-2.svg?raw=true)</v>
      </c>
      <c r="AX6" s="1" t="str">
        <f>Infill[[#This Row],[Material Usage Icon]]</f>
        <v>![level-to-worse-4](https://github.com/OrcaSlicer/OrcaSlicer_WIKI/blob/main/images/images/misc/level-to-worse-4.svg?raw=true)</v>
      </c>
      <c r="AY6" s="1" t="str">
        <f>Infill[[#This Row],[Print Time Icon]]</f>
        <v>![level-to-worse-3](https://github.com/OrcaSlicer/OrcaSlicer_WIKI/blob/main/images/images/misc/level-to-worse-3.svg?raw=true)</v>
      </c>
      <c r="AZ6" t="str">
        <f ca="1">Infill[[#This Row],[Layer time Variability]]</f>
        <v>Unnoticeable</v>
      </c>
      <c r="BA6" s="1" t="str">
        <f>Infill[[#This Row],[Multiline]]</f>
        <v>No</v>
      </c>
    </row>
    <row r="7" spans="1:53" ht="270" x14ac:dyDescent="0.25">
      <c r="A7" t="s">
        <v>49</v>
      </c>
      <c r="B7" t="s">
        <v>34</v>
      </c>
      <c r="E7">
        <v>5</v>
      </c>
      <c r="F7" t="b">
        <v>1</v>
      </c>
      <c r="G7" t="b">
        <v>0</v>
      </c>
      <c r="H7" t="b">
        <v>0</v>
      </c>
      <c r="I7" t="s">
        <v>81</v>
      </c>
      <c r="J7" t="s">
        <v>1</v>
      </c>
      <c r="K7" t="s">
        <v>115</v>
      </c>
      <c r="L7" t="s">
        <v>140</v>
      </c>
      <c r="M7" t="s">
        <v>223</v>
      </c>
      <c r="N7" s="8" t="s">
        <v>88</v>
      </c>
      <c r="O7">
        <v>4</v>
      </c>
      <c r="P7" t="str">
        <f>_xlfn.XLOOKUP(Infill[[#This Row],[XY-N]],Rating[N],Rating[Name])</f>
        <v>Normal</v>
      </c>
      <c r="Q7" t="str">
        <f>_xlfn.XLOOKUP(Infill[[#This Row],[XY-N]],Rating[N],Rating[level-to-better])</f>
        <v>![level-to-better-4](https://github.com/OrcaSlicer/OrcaSlicer_WIKI/blob/main/images/images/misc/level-to-better-4.svg?raw=true)</v>
      </c>
      <c r="R7">
        <v>2</v>
      </c>
      <c r="S7" t="str">
        <f>_xlfn.XLOOKUP(Infill[[#This Row],[Z-N]],Rating[N],Rating[Name])</f>
        <v>Low</v>
      </c>
      <c r="T7" t="str">
        <f>_xlfn.XLOOKUP(Infill[[#This Row],[Z-N]],Rating[N],Rating[level-to-better])</f>
        <v>![level-to-better-2](https://github.com/OrcaSlicer/OrcaSlicer_WIKI/blob/main/images/images/misc/level-to-better-2.svg?raw=true)</v>
      </c>
      <c r="U7" s="11">
        <f ca="1">_xlfn.XLOOKUP(Infill[[#This Row],[infill]],Tabla7[infill],Tabla7[% 2 Sigma])</f>
        <v>1.2858296519586032E-2</v>
      </c>
      <c r="V7" t="str">
        <f ca="1">_xlfn.XLOOKUP(Infill[[#This Row],[% 2 Sigma]],AbsRating[Max %],AbsRating[Name],,1)</f>
        <v>Unnoticeable</v>
      </c>
      <c r="W7" t="str">
        <f ca="1">_xlfn.XLOOKUP(Infill[[#This Row],[% 2 Sigma]],AbsRating[Max %],AbsRating[icon],,1)</f>
        <v>🔵</v>
      </c>
      <c r="X7" s="2" t="s">
        <v>73</v>
      </c>
      <c r="Y7">
        <f>_xlfn.XLOOKUP(Infill[[#This Row],[infill]],Tabla7[infill],Tabla7[g])</f>
        <v>150.10300000000001</v>
      </c>
      <c r="Z7" s="2">
        <f>Infill[[#This Row],[g]]/(997.25*0.15)</f>
        <v>1.0034461435614608</v>
      </c>
      <c r="AA7" s="2" t="str">
        <f>_xlfn.XLOOKUP(Infill[[#This Row],[% Effective]],Rating[Max %],Rating[Name],,1)</f>
        <v>Normal</v>
      </c>
      <c r="AB7" s="2" t="str">
        <f>_xlfn.XLOOKUP(Infill[[#This Row],[% Effective]],Rating[Max %],Rating[level-to-worse],,1)</f>
        <v>![level-to-worse-4](https://github.com/OrcaSlicer/OrcaSlicer_WIKI/blob/main/images/images/misc/level-to-worse-4.svg?raw=true)</v>
      </c>
      <c r="AC7">
        <f>_xlfn.XLOOKUP(Infill[[#This Row],[infill]],Tabla7[infill],Tabla7[Total Time])</f>
        <v>246.67699999999999</v>
      </c>
      <c r="AD7" s="2">
        <f>Infill[[#This Row],[Total Time]]/AVERAGEIFS(Infill[Total Time],Infill[Material Usage Icon],_xlfn.XLOOKUP("Normal",Rating[Name],Rating[level-to-worse]))</f>
        <v>0.80974548547256597</v>
      </c>
      <c r="AE7" s="2" t="str">
        <f>_xlfn.XLOOKUP(Infill[[#This Row],[t prom]],Rating[Max %],Rating[Name],,1)</f>
        <v>Normal-Low</v>
      </c>
      <c r="AF7" s="2" t="str">
        <f>_xlfn.XLOOKUP(Infill[[#This Row],[t prom]],Rating[Max %],Rating[level-to-worse],,1)</f>
        <v>![level-to-worse-3](https://github.com/OrcaSlicer/OrcaSlicer_WIKI/blob/main/images/images/misc/level-to-worse-3.svg?raw=true)</v>
      </c>
      <c r="AG7" s="3">
        <f>Infill[[#This Row],[g]]/Infill[[#This Row],[Total Time]]</f>
        <v>0.60850018445173248</v>
      </c>
      <c r="AH7" s="2">
        <f>Infill[[#This Row],[g/t]]/AVERAGEIFS(Infill[g/t],Infill[Material Usage Icon],_xlfn.XLOOKUP("Normal",Rating[Name],Rating[level-to-worse]))</f>
        <v>1.1168448343829707</v>
      </c>
      <c r="AI7" s="2" t="str">
        <f>_xlfn.XLOOKUP(Infill[[#This Row],[g/t prom]],Rating[Max %],Rating[Name],,1)</f>
        <v>Normal-High</v>
      </c>
      <c r="AJ7" s="1" t="str">
        <f>_xlfn.XLOOKUP(Infill[[#This Row],[g/t prom]],Rating[Max %],Rating[level-to-better],,1)</f>
        <v>![level-to-better-5](https://github.com/OrcaSlicer/OrcaSlicer_WIKI/blob/main/images/images/misc/level-to-better-5.svg?raw=true)</v>
      </c>
      <c r="AK7" s="2" t="str">
        <f>SUBSTITUTE(LOWER(Infill[[#This Row],[name]])," ","-")</f>
        <v>cross-zag</v>
      </c>
      <c r="AL7" t="str">
        <f>"param_"&amp;Infill[[#This Row],[infill]]</f>
        <v>param_crosszag</v>
      </c>
      <c r="AM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N7" s="2" t="str">
        <f>"["&amp;Infill[[#This Row],[name]]&amp;"](#"&amp;Infill[[#This Row],[nameMD]]&amp;")"</f>
        <v>[Cross Zag](#cross-zag)</v>
      </c>
      <c r="AO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![level-to-better-4](https://github.com/OrcaSlicer/OrcaSlicer_WIKI/blob/main/images/images/misc/level-to-better-4.svg?raw=true)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No
- **Applies to:**
  - **[Sparse Infill](strength_settings_infill#sparse-infill-density)**
![infill-top-cross-zag](https://github.com/OrcaSlicer/OrcaSlicer_WIKI/blob/main/images/fill/infill-top-cross-zag.png?raw=true)
</v>
      </c>
      <c r="AQ7" t="str">
        <f>IF(OR(Infill[[#This Row],[Is Infill]],Infill[[#This Row],[Is Surface]])," { """&amp;Infill[[#This Row],[infill]]&amp;""", "&amp;Infill[[#This Row],[ip]]&amp;" },","")</f>
        <v xml:space="preserve"> { "crosszag", ipCrossZag },</v>
      </c>
      <c r="AR7" t="str">
        <f>IF(OR(Infill[[#This Row],[Is Infill]],Infill[[#This Row],[Is Surface]]),"def-&gt;enum_values.push_back("""&amp;Infill[[#This Row],[infill]]&amp;""");","")</f>
        <v>def-&gt;enum_values.push_back("crosszag");</v>
      </c>
      <c r="AS7" t="str">
        <f>IF(OR(Infill[[#This Row],[Is Infill]],Infill[[#This Row],[Is Surface]]),"def-&gt;enum_labels.push_back(L("""&amp;Infill[[#This Row],[name]]&amp;"""));","")</f>
        <v>def-&gt;enum_labels.push_back(L("Cross Zag"));</v>
      </c>
      <c r="AU7" t="str">
        <f>Infill[[#This Row],[SVG Link]]</f>
        <v>&lt;img alt="param_crosszag" src="https://github.com/OrcaSlicer/OrcaSlicer/blob/main/resources/images/param_crosszag.svg?raw=true" height="45"&gt;</v>
      </c>
      <c r="AV7" s="1" t="str">
        <f>Infill[[#This Row],[Pattern]]</f>
        <v>[Cross Zag](#cross-zag)</v>
      </c>
      <c r="AW7" s="6" t="str">
        <f>"X-Y: "&amp;Infill[[#This Row],[X-Y Strength Icon]]&amp;"
Z: "&amp;Infill[[#This Row],[Z Strength Icon]]</f>
        <v>X-Y: ![level-to-better-4](https://github.com/OrcaSlicer/OrcaSlicer_WIKI/blob/main/images/images/misc/level-to-better-4.svg?raw=true)
Z: ![level-to-better-2](https://github.com/OrcaSlicer/OrcaSlicer_WIKI/blob/main/images/images/misc/level-to-better-2.svg?raw=true)</v>
      </c>
      <c r="AX7" s="1" t="str">
        <f>Infill[[#This Row],[Material Usage Icon]]</f>
        <v>![level-to-worse-4](https://github.com/OrcaSlicer/OrcaSlicer_WIKI/blob/main/images/images/misc/level-to-worse-4.svg?raw=true)</v>
      </c>
      <c r="AY7" s="1" t="str">
        <f>Infill[[#This Row],[Print Time Icon]]</f>
        <v>![level-to-worse-3](https://github.com/OrcaSlicer/OrcaSlicer_WIKI/blob/main/images/images/misc/level-to-worse-3.svg?raw=true)</v>
      </c>
      <c r="AZ7" t="str">
        <f ca="1">Infill[[#This Row],[Layer time Variability]]</f>
        <v>Unnoticeable</v>
      </c>
      <c r="BA7" s="1" t="str">
        <f>Infill[[#This Row],[Multiline]]</f>
        <v>No</v>
      </c>
    </row>
    <row r="8" spans="1:53" ht="300" x14ac:dyDescent="0.25">
      <c r="A8" t="s">
        <v>192</v>
      </c>
      <c r="B8" s="4">
        <v>1</v>
      </c>
      <c r="E8">
        <v>6</v>
      </c>
      <c r="F8" t="b">
        <v>1</v>
      </c>
      <c r="G8" t="b">
        <v>0</v>
      </c>
      <c r="H8" t="b">
        <v>0</v>
      </c>
      <c r="I8" t="s">
        <v>78</v>
      </c>
      <c r="J8" t="s">
        <v>1</v>
      </c>
      <c r="K8" t="s">
        <v>116</v>
      </c>
      <c r="L8" t="s">
        <v>141</v>
      </c>
      <c r="M8" t="s">
        <v>223</v>
      </c>
      <c r="N8" s="8" t="s">
        <v>219</v>
      </c>
      <c r="O8">
        <v>3</v>
      </c>
      <c r="P8" t="str">
        <f>_xlfn.XLOOKUP(Infill[[#This Row],[XY-N]],Rating[N],Rating[Name])</f>
        <v>Normal-Low</v>
      </c>
      <c r="Q8" t="str">
        <f>_xlfn.XLOOKUP(Infill[[#This Row],[XY-N]],Rating[N],Rating[level-to-better])</f>
        <v>![level-to-better-3](https://github.com/OrcaSlicer/OrcaSlicer_WIKI/blob/main/images/images/misc/level-to-better-3.svg?raw=true)</v>
      </c>
      <c r="R8">
        <v>3</v>
      </c>
      <c r="S8" t="str">
        <f>_xlfn.XLOOKUP(Infill[[#This Row],[Z-N]],Rating[N],Rating[Name])</f>
        <v>Normal-Low</v>
      </c>
      <c r="T8" t="str">
        <f>_xlfn.XLOOKUP(Infill[[#This Row],[Z-N]],Rating[N],Rating[level-to-better])</f>
        <v>![level-to-better-3](https://github.com/OrcaSlicer/OrcaSlicer_WIKI/blob/main/images/images/misc/level-to-better-3.svg?raw=true)</v>
      </c>
      <c r="U8" s="11">
        <f ca="1">_xlfn.XLOOKUP(Infill[[#This Row],[infill]],Tabla7[infill],Tabla7[% 2 Sigma])</f>
        <v>9.0164137803094846E-3</v>
      </c>
      <c r="V8" t="str">
        <f ca="1">_xlfn.XLOOKUP(Infill[[#This Row],[% 2 Sigma]],AbsRating[Max %],AbsRating[Name],,1)</f>
        <v>None</v>
      </c>
      <c r="W8" t="str">
        <f ca="1">_xlfn.XLOOKUP(Infill[[#This Row],[% 2 Sigma]],AbsRating[Max %],AbsRating[icon],,1)</f>
        <v>🟢</v>
      </c>
      <c r="X8" s="8" t="s">
        <v>220</v>
      </c>
      <c r="Y8">
        <f>_xlfn.XLOOKUP(Infill[[#This Row],[infill]],Tabla7[infill],Tabla7[g])</f>
        <v>180.82</v>
      </c>
      <c r="Z8" s="2">
        <f>Infill[[#This Row],[g]]/(997.25*0.15)</f>
        <v>1.2087908414807387</v>
      </c>
      <c r="AA8" s="2" t="str">
        <f>_xlfn.XLOOKUP(Infill[[#This Row],[% Effective]],Rating[Max %],Rating[Name],,1)</f>
        <v>Normal-High</v>
      </c>
      <c r="AB8" s="2" t="str">
        <f>_xlfn.XLOOKUP(Infill[[#This Row],[% Effective]],Rating[Max %],Rating[level-to-worse],,1)</f>
        <v>![level-to-worse-5](https://github.com/OrcaSlicer/OrcaSlicer_WIKI/blob/main/images/images/misc/level-to-worse-5.svg?raw=true)</v>
      </c>
      <c r="AC8">
        <f>_xlfn.XLOOKUP(Infill[[#This Row],[infill]],Tabla7[infill],Tabla7[Total Time])</f>
        <v>344.53199999999998</v>
      </c>
      <c r="AD8" s="2">
        <f>Infill[[#This Row],[Total Time]]/AVERAGEIFS(Infill[Total Time],Infill[Material Usage Icon],_xlfn.XLOOKUP("Normal",Rating[Name],Rating[level-to-worse]))</f>
        <v>1.13096572279067</v>
      </c>
      <c r="AE8" s="2" t="str">
        <f>_xlfn.XLOOKUP(Infill[[#This Row],[t prom]],Rating[Max %],Rating[Name],,1)</f>
        <v>Normal-High</v>
      </c>
      <c r="AF8" s="2" t="str">
        <f>_xlfn.XLOOKUP(Infill[[#This Row],[t prom]],Rating[Max %],Rating[level-to-worse],,1)</f>
        <v>![level-to-worse-5](https://github.com/OrcaSlicer/OrcaSlicer_WIKI/blob/main/images/images/misc/level-to-worse-5.svg?raw=true)</v>
      </c>
      <c r="AG8" s="3">
        <f>Infill[[#This Row],[g]]/Infill[[#This Row],[Total Time]]</f>
        <v>0.52482788246084544</v>
      </c>
      <c r="AH8" s="2">
        <f>Infill[[#This Row],[g/t]]/AVERAGEIFS(Infill[g/t],Infill[Material Usage Icon],_xlfn.XLOOKUP("Normal",Rating[Name],Rating[level-to-worse]))</f>
        <v>0.96327219686002052</v>
      </c>
      <c r="AI8" s="2" t="str">
        <f>_xlfn.XLOOKUP(Infill[[#This Row],[g/t prom]],Rating[Max %],Rating[Name],,1)</f>
        <v>Normal</v>
      </c>
      <c r="AJ8" s="1" t="str">
        <f>_xlfn.XLOOKUP(Infill[[#This Row],[g/t prom]],Rating[Max %],Rating[level-to-better],,1)</f>
        <v>![level-to-better-4](https://github.com/OrcaSlicer/OrcaSlicer_WIKI/blob/main/images/images/misc/level-to-better-4.svg?raw=true)</v>
      </c>
      <c r="AK8" s="2" t="str">
        <f>SUBSTITUTE(LOWER(Infill[[#This Row],[name]])," ","-")</f>
        <v>locked-zag</v>
      </c>
      <c r="AL8" t="str">
        <f>"param_"&amp;Infill[[#This Row],[infill]]</f>
        <v>param_lockedzag</v>
      </c>
      <c r="AM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N8" s="2" t="str">
        <f>"["&amp;Infill[[#This Row],[name]]&amp;"](#"&amp;Infill[[#This Row],[nameMD]]&amp;")"</f>
        <v>[Locked Zag](#locked-zag)</v>
      </c>
      <c r="AO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![level-to-better-3](https://github.com/OrcaSlicer/OrcaSlicer_WIKI/blob/main/images/images/misc/level-to-better-3.svg?raw=true)
  - **Vertical (Z):** Normal-Low ![level-to-better-3](https://github.com/OrcaSlicer/OrcaSlicer_WIKI/blob/main/images/images/misc/level-to-better-3.svg?raw=true)
- **Density Calculation:** Similar to [Zig Zag](#zig-zag).
Skin density * ( Infill Area - Skin Area + lock depth area) + ( Skin density * Skin area).
  - **Material Usage:** Normal-High ![level-to-worse-5](https://github.com/OrcaSlicer/OrcaSlicer_WIKI/blob/main/images/images/misc/level-to-worse-5.svg?raw=true)
  - **Print Time:** Normal-High ![level-to-worse-5](https://github.com/OrcaSlicer/OrcaSlicer_WIKI/blob/main/images/images/misc/level-to-worse-5.svg?raw=true)
    - **Material/Time (Higher better):** Normal ![level-to-better-4](https://github.com/OrcaSlicer/OrcaSlicer_WIKI/blob/main/images/images/misc/level-to-better-4.svg?raw=true)
    - **Layer time Variability:** None
- **Multiline:** No
- **Applies to:**
  - **[Sparse Infill](strength_settings_infill#sparse-infill-density)**
![infill-top-locked-zag](https://github.com/OrcaSlicer/OrcaSlicer_WIKI/blob/main/images/fill/infill-top-locked-zag.png?raw=true)
</v>
      </c>
      <c r="AQ8" t="str">
        <f>IF(OR(Infill[[#This Row],[Is Infill]],Infill[[#This Row],[Is Surface]])," { """&amp;Infill[[#This Row],[infill]]&amp;""", "&amp;Infill[[#This Row],[ip]]&amp;" },","")</f>
        <v xml:space="preserve"> { "lockedzag", ipLockedZag },</v>
      </c>
      <c r="AR8" t="str">
        <f>IF(OR(Infill[[#This Row],[Is Infill]],Infill[[#This Row],[Is Surface]]),"def-&gt;enum_values.push_back("""&amp;Infill[[#This Row],[infill]]&amp;""");","")</f>
        <v>def-&gt;enum_values.push_back("lockedzag");</v>
      </c>
      <c r="AS8" t="str">
        <f>IF(OR(Infill[[#This Row],[Is Infill]],Infill[[#This Row],[Is Surface]]),"def-&gt;enum_labels.push_back(L("""&amp;Infill[[#This Row],[name]]&amp;"""));","")</f>
        <v>def-&gt;enum_labels.push_back(L("Locked Zag"));</v>
      </c>
      <c r="AU8" t="str">
        <f>Infill[[#This Row],[SVG Link]]</f>
        <v>&lt;img alt="param_lockedzag" src="https://github.com/OrcaSlicer/OrcaSlicer/blob/main/resources/images/param_lockedzag.svg?raw=true" height="45"&gt;</v>
      </c>
      <c r="AV8" s="1" t="str">
        <f>Infill[[#This Row],[Pattern]]</f>
        <v>[Locked Zag](#locked-zag)</v>
      </c>
      <c r="AW8" s="6" t="str">
        <f>"X-Y: "&amp;Infill[[#This Row],[X-Y Strength Icon]]&amp;"
Z: "&amp;Infill[[#This Row],[Z Strength Icon]]</f>
        <v>X-Y: ![level-to-better-3](https://github.com/OrcaSlicer/OrcaSlicer_WIKI/blob/main/images/images/misc/level-to-better-3.svg?raw=true)
Z: ![level-to-better-3](https://github.com/OrcaSlicer/OrcaSlicer_WIKI/blob/main/images/images/misc/level-to-better-3.svg?raw=true)</v>
      </c>
      <c r="AX8" s="1" t="str">
        <f>Infill[[#This Row],[Material Usage Icon]]</f>
        <v>![level-to-worse-5](https://github.com/OrcaSlicer/OrcaSlicer_WIKI/blob/main/images/images/misc/level-to-worse-5.svg?raw=true)</v>
      </c>
      <c r="AY8" s="1" t="str">
        <f>Infill[[#This Row],[Print Time Icon]]</f>
        <v>![level-to-worse-5](https://github.com/OrcaSlicer/OrcaSlicer_WIKI/blob/main/images/images/misc/level-to-worse-5.svg?raw=true)</v>
      </c>
      <c r="AZ8" t="str">
        <f ca="1">Infill[[#This Row],[Layer time Variability]]</f>
        <v>None</v>
      </c>
      <c r="BA8" s="1" t="str">
        <f>Infill[[#This Row],[Multiline]]</f>
        <v>No</v>
      </c>
    </row>
    <row r="9" spans="1:53" ht="270" x14ac:dyDescent="0.25">
      <c r="A9" t="s">
        <v>46</v>
      </c>
      <c r="B9">
        <v>1</v>
      </c>
      <c r="E9">
        <v>7</v>
      </c>
      <c r="F9" t="b">
        <v>1</v>
      </c>
      <c r="G9" t="b">
        <v>0</v>
      </c>
      <c r="H9" t="b">
        <v>0</v>
      </c>
      <c r="I9" t="s">
        <v>3</v>
      </c>
      <c r="J9" t="s">
        <v>1</v>
      </c>
      <c r="K9" t="s">
        <v>93</v>
      </c>
      <c r="L9" t="s">
        <v>122</v>
      </c>
      <c r="M9" t="s">
        <v>223</v>
      </c>
      <c r="N9" s="6" t="s">
        <v>53</v>
      </c>
      <c r="O9">
        <v>2</v>
      </c>
      <c r="P9" t="str">
        <f>_xlfn.XLOOKUP(Infill[[#This Row],[XY-N]],Rating[N],Rating[Name])</f>
        <v>Low</v>
      </c>
      <c r="Q9" t="str">
        <f>_xlfn.XLOOKUP(Infill[[#This Row],[XY-N]],Rating[N],Rating[level-to-better])</f>
        <v>![level-to-better-2](https://github.com/OrcaSlicer/OrcaSlicer_WIKI/blob/main/images/images/misc/level-to-better-2.svg?raw=true)</v>
      </c>
      <c r="R9">
        <v>2</v>
      </c>
      <c r="S9" t="str">
        <f>_xlfn.XLOOKUP(Infill[[#This Row],[Z-N]],Rating[N],Rating[Name])</f>
        <v>Low</v>
      </c>
      <c r="T9" t="str">
        <f>_xlfn.XLOOKUP(Infill[[#This Row],[Z-N]],Rating[N],Rating[level-to-better])</f>
        <v>![level-to-better-2](https://github.com/OrcaSlicer/OrcaSlicer_WIKI/blob/main/images/images/misc/level-to-better-2.svg?raw=true)</v>
      </c>
      <c r="U9" s="11">
        <f ca="1">_xlfn.XLOOKUP(Infill[[#This Row],[infill]],Tabla7[infill],Tabla7[% 2 Sigma])</f>
        <v>8.6980852035178913E-5</v>
      </c>
      <c r="V9" t="str">
        <f ca="1">_xlfn.XLOOKUP(Infill[[#This Row],[% 2 Sigma]],AbsRating[Max %],AbsRating[Name],,1)</f>
        <v>None</v>
      </c>
      <c r="W9" t="str">
        <f ca="1">_xlfn.XLOOKUP(Infill[[#This Row],[% 2 Sigma]],AbsRating[Max %],AbsRating[icon],,1)</f>
        <v>🟢</v>
      </c>
      <c r="X9" s="2" t="s">
        <v>73</v>
      </c>
      <c r="Y9">
        <f>_xlfn.XLOOKUP(Infill[[#This Row],[infill]],Tabla7[infill],Tabla7[g])</f>
        <v>154.13200000000001</v>
      </c>
      <c r="Z9" s="2">
        <f>Infill[[#This Row],[g]]/(997.25*0.15)</f>
        <v>1.0303802122503551</v>
      </c>
      <c r="AA9" s="2" t="str">
        <f>_xlfn.XLOOKUP(Infill[[#This Row],[% Effective]],Rating[Max %],Rating[Name],,1)</f>
        <v>Normal</v>
      </c>
      <c r="AB9" s="2" t="str">
        <f>_xlfn.XLOOKUP(Infill[[#This Row],[% Effective]],Rating[Max %],Rating[level-to-worse],,1)</f>
        <v>![level-to-worse-4](https://github.com/OrcaSlicer/OrcaSlicer_WIKI/blob/main/images/images/misc/level-to-worse-4.svg?raw=true)</v>
      </c>
      <c r="AC9">
        <f>_xlfn.XLOOKUP(Infill[[#This Row],[infill]],Tabla7[infill],Tabla7[Total Time])</f>
        <v>233.01300000000001</v>
      </c>
      <c r="AD9" s="2">
        <f>Infill[[#This Row],[Total Time]]/AVERAGEIFS(Infill[Total Time],Infill[Material Usage Icon],_xlfn.XLOOKUP("Normal",Rating[Name],Rating[level-to-worse]))</f>
        <v>0.76489184158401069</v>
      </c>
      <c r="AE9" s="2" t="str">
        <f>_xlfn.XLOOKUP(Infill[[#This Row],[t prom]],Rating[Max %],Rating[Name],,1)</f>
        <v>Normal-Low</v>
      </c>
      <c r="AF9" s="2" t="str">
        <f>_xlfn.XLOOKUP(Infill[[#This Row],[t prom]],Rating[Max %],Rating[level-to-worse],,1)</f>
        <v>![level-to-worse-3](https://github.com/OrcaSlicer/OrcaSlicer_WIKI/blob/main/images/images/misc/level-to-worse-3.svg?raw=true)</v>
      </c>
      <c r="AG9" s="3">
        <f>Infill[[#This Row],[g]]/Infill[[#This Row],[Total Time]]</f>
        <v>0.66147382334891192</v>
      </c>
      <c r="AH9" s="2">
        <f>Infill[[#This Row],[g/t]]/AVERAGEIFS(Infill[g/t],Infill[Material Usage Icon],_xlfn.XLOOKUP("Normal",Rating[Name],Rating[level-to-worse]))</f>
        <v>1.2140729642546002</v>
      </c>
      <c r="AI9" s="2" t="str">
        <f>_xlfn.XLOOKUP(Infill[[#This Row],[g/t prom]],Rating[Max %],Rating[Name],,1)</f>
        <v>Normal-High</v>
      </c>
      <c r="AJ9" s="1" t="str">
        <f>_xlfn.XLOOKUP(Infill[[#This Row],[g/t prom]],Rating[Max %],Rating[level-to-better],,1)</f>
        <v>![level-to-better-5](https://github.com/OrcaSlicer/OrcaSlicer_WIKI/blob/main/images/images/misc/level-to-better-5.svg?raw=true)</v>
      </c>
      <c r="AK9" s="2" t="str">
        <f>SUBSTITUTE(LOWER(Infill[[#This Row],[name]])," ","-")</f>
        <v>line</v>
      </c>
      <c r="AL9" t="str">
        <f>"param_"&amp;Infill[[#This Row],[infill]]</f>
        <v>param_line</v>
      </c>
      <c r="AM9" t="str">
        <f>"&lt;img alt=""" &amp; Infill[[#This Row],[SVG]] &amp; """ src=""https://github.com/OrcaSlicer/OrcaSlicer/blob/main/resources/images/" &amp; Infill[[#This Row],[SVG]] &amp; ".svg?raw=true"" height=""45""&gt;"</f>
        <v>&lt;img alt="param_line" src="https://github.com/OrcaSlicer/OrcaSlicer/blob/main/resources/images/param_line.svg?raw=true" height="45"&gt;</v>
      </c>
      <c r="AN9" s="2" t="str">
        <f>"["&amp;Infill[[#This Row],[name]]&amp;"](#"&amp;Infill[[#This Row],[nameMD]]&amp;")"</f>
        <v>[Line](#line)</v>
      </c>
      <c r="AO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![level-to-better-2](https://github.com/OrcaSlicer/OrcaSlicer_WIKI/blob/main/images/images/misc/level-to-better-2.svg?raw=true)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No
- **Applies to:**
  - **[Sparse Infill](strength_settings_infill#sparse-infill-density)**
![infill-top-line](https://github.com/OrcaSlicer/OrcaSlicer_WIKI/blob/main/images/fill/infill-top-line.png?raw=true)
</v>
      </c>
      <c r="AQ9" t="str">
        <f>IF(OR(Infill[[#This Row],[Is Infill]],Infill[[#This Row],[Is Surface]])," { """&amp;Infill[[#This Row],[infill]]&amp;""", "&amp;Infill[[#This Row],[ip]]&amp;" },","")</f>
        <v xml:space="preserve"> { "line", ipLine },</v>
      </c>
      <c r="AR9" t="str">
        <f>IF(OR(Infill[[#This Row],[Is Infill]],Infill[[#This Row],[Is Surface]]),"def-&gt;enum_values.push_back("""&amp;Infill[[#This Row],[infill]]&amp;""");","")</f>
        <v>def-&gt;enum_values.push_back("line");</v>
      </c>
      <c r="AS9" t="str">
        <f>IF(OR(Infill[[#This Row],[Is Infill]],Infill[[#This Row],[Is Surface]]),"def-&gt;enum_labels.push_back(L("""&amp;Infill[[#This Row],[name]]&amp;"""));","")</f>
        <v>def-&gt;enum_labels.push_back(L("Line"));</v>
      </c>
      <c r="AU9" t="str">
        <f>Infill[[#This Row],[SVG Link]]</f>
        <v>&lt;img alt="param_line" src="https://github.com/OrcaSlicer/OrcaSlicer/blob/main/resources/images/param_line.svg?raw=true" height="45"&gt;</v>
      </c>
      <c r="AV9" s="1" t="str">
        <f>Infill[[#This Row],[Pattern]]</f>
        <v>[Line](#line)</v>
      </c>
      <c r="AW9" s="6" t="str">
        <f>"X-Y: "&amp;Infill[[#This Row],[X-Y Strength Icon]]&amp;"
Z: "&amp;Infill[[#This Row],[Z Strength Icon]]</f>
        <v>X-Y: ![level-to-better-2](https://github.com/OrcaSlicer/OrcaSlicer_WIKI/blob/main/images/images/misc/level-to-better-2.svg?raw=true)
Z: ![level-to-better-2](https://github.com/OrcaSlicer/OrcaSlicer_WIKI/blob/main/images/images/misc/level-to-better-2.svg?raw=true)</v>
      </c>
      <c r="AX9" s="1" t="str">
        <f>Infill[[#This Row],[Material Usage Icon]]</f>
        <v>![level-to-worse-4](https://github.com/OrcaSlicer/OrcaSlicer_WIKI/blob/main/images/images/misc/level-to-worse-4.svg?raw=true)</v>
      </c>
      <c r="AY9" s="1" t="str">
        <f>Infill[[#This Row],[Print Time Icon]]</f>
        <v>![level-to-worse-3](https://github.com/OrcaSlicer/OrcaSlicer_WIKI/blob/main/images/images/misc/level-to-worse-3.svg?raw=true)</v>
      </c>
      <c r="AZ9" t="str">
        <f ca="1">Infill[[#This Row],[Layer time Variability]]</f>
        <v>None</v>
      </c>
      <c r="BA9" s="1" t="str">
        <f>Infill[[#This Row],[Multiline]]</f>
        <v>No</v>
      </c>
    </row>
    <row r="10" spans="1:53" ht="270" x14ac:dyDescent="0.25">
      <c r="A10" t="s">
        <v>170</v>
      </c>
      <c r="B10" t="s">
        <v>167</v>
      </c>
      <c r="E10">
        <v>8</v>
      </c>
      <c r="F10" t="b">
        <v>1</v>
      </c>
      <c r="G10" t="b">
        <v>0</v>
      </c>
      <c r="H10" t="b">
        <v>0</v>
      </c>
      <c r="I10" t="s">
        <v>2</v>
      </c>
      <c r="J10" t="s">
        <v>154</v>
      </c>
      <c r="K10" t="s">
        <v>92</v>
      </c>
      <c r="L10" t="s">
        <v>121</v>
      </c>
      <c r="M10" t="s">
        <v>225</v>
      </c>
      <c r="N10" s="6" t="s">
        <v>52</v>
      </c>
      <c r="O10">
        <v>6</v>
      </c>
      <c r="P10" t="str">
        <f>_xlfn.XLOOKUP(Infill[[#This Row],[XY-N]],Rating[N],Rating[Name])</f>
        <v>High</v>
      </c>
      <c r="Q10" t="str">
        <f>_xlfn.XLOOKUP(Infill[[#This Row],[XY-N]],Rating[N],Rating[level-to-better])</f>
        <v>![level-to-better-6](https://github.com/OrcaSlicer/OrcaSlicer_WIKI/blob/main/images/images/misc/level-to-better-6.svg?raw=true)</v>
      </c>
      <c r="R10">
        <v>6</v>
      </c>
      <c r="S10" t="str">
        <f>_xlfn.XLOOKUP(Infill[[#This Row],[Z-N]],Rating[N],Rating[Name])</f>
        <v>High</v>
      </c>
      <c r="T10" t="str">
        <f>_xlfn.XLOOKUP(Infill[[#This Row],[Z-N]],Rating[N],Rating[level-to-better])</f>
        <v>![level-to-better-6](https://github.com/OrcaSlicer/OrcaSlicer_WIKI/blob/main/images/images/misc/level-to-better-6.svg?raw=true)</v>
      </c>
      <c r="U10" s="11">
        <f ca="1">_xlfn.XLOOKUP(Infill[[#This Row],[infill]],Tabla7[infill],Tabla7[% 2 Sigma])</f>
        <v>2.3202246436908602E-3</v>
      </c>
      <c r="V10" t="str">
        <f ca="1">_xlfn.XLOOKUP(Infill[[#This Row],[% 2 Sigma]],AbsRating[Max %],AbsRating[Name],,1)</f>
        <v>None</v>
      </c>
      <c r="W10" t="str">
        <f ca="1">_xlfn.XLOOKUP(Infill[[#This Row],[% 2 Sigma]],AbsRating[Max %],AbsRating[icon],,1)</f>
        <v>🟢</v>
      </c>
      <c r="X10" s="2" t="s">
        <v>73</v>
      </c>
      <c r="Y10">
        <f>_xlfn.XLOOKUP(Infill[[#This Row],[infill]],Tabla7[infill],Tabla7[g])</f>
        <v>149.02500000000001</v>
      </c>
      <c r="Z10" s="2">
        <f>Infill[[#This Row],[g]]/(997.25*0.15)</f>
        <v>0.99623965906242162</v>
      </c>
      <c r="AA10" s="2" t="str">
        <f>_xlfn.XLOOKUP(Infill[[#This Row],[% Effective]],Rating[Max %],Rating[Name],,1)</f>
        <v>Normal</v>
      </c>
      <c r="AB10" s="2" t="str">
        <f>_xlfn.XLOOKUP(Infill[[#This Row],[% Effective]],Rating[Max %],Rating[level-to-worse],,1)</f>
        <v>![level-to-worse-4](https://github.com/OrcaSlicer/OrcaSlicer_WIKI/blob/main/images/images/misc/level-to-worse-4.svg?raw=true)</v>
      </c>
      <c r="AC10">
        <f>_xlfn.XLOOKUP(Infill[[#This Row],[infill]],Tabla7[infill],Tabla7[Total Time])</f>
        <v>228.24299999999999</v>
      </c>
      <c r="AD10" s="2">
        <f>Infill[[#This Row],[Total Time]]/AVERAGEIFS(Infill[Total Time],Infill[Material Usage Icon],_xlfn.XLOOKUP("Normal",Rating[Name],Rating[level-to-worse]))</f>
        <v>0.74923377064223606</v>
      </c>
      <c r="AE10" s="2" t="str">
        <f>_xlfn.XLOOKUP(Infill[[#This Row],[t prom]],Rating[Max %],Rating[Name],,1)</f>
        <v>Low</v>
      </c>
      <c r="AF10" s="2" t="str">
        <f>_xlfn.XLOOKUP(Infill[[#This Row],[t prom]],Rating[Max %],Rating[level-to-worse],,1)</f>
        <v>![level-to-worse-2](https://github.com/OrcaSlicer/OrcaSlicer_WIKI/blob/main/images/images/misc/level-to-worse-2.svg?raw=true)</v>
      </c>
      <c r="AG10" s="3">
        <f>Infill[[#This Row],[g]]/Infill[[#This Row],[Total Time]]</f>
        <v>0.65292254307908681</v>
      </c>
      <c r="AH10" s="2">
        <f>Infill[[#This Row],[g/t]]/AVERAGEIFS(Infill[g/t],Infill[Material Usage Icon],_xlfn.XLOOKUP("Normal",Rating[Name],Rating[level-to-worse]))</f>
        <v>1.1983778939148595</v>
      </c>
      <c r="AI10" s="2" t="str">
        <f>_xlfn.XLOOKUP(Infill[[#This Row],[g/t prom]],Rating[Max %],Rating[Name],,1)</f>
        <v>Normal-High</v>
      </c>
      <c r="AJ10" s="1" t="str">
        <f>_xlfn.XLOOKUP(Infill[[#This Row],[g/t prom]],Rating[Max %],Rating[level-to-better],,1)</f>
        <v>![level-to-better-5](https://github.com/OrcaSlicer/OrcaSlicer_WIKI/blob/main/images/images/misc/level-to-better-5.svg?raw=true)</v>
      </c>
      <c r="AK10" s="2" t="str">
        <f>SUBSTITUTE(LOWER(Infill[[#This Row],[name]])," ","-")</f>
        <v>grid</v>
      </c>
      <c r="AL10" t="str">
        <f>"param_"&amp;Infill[[#This Row],[infill]]</f>
        <v>param_grid</v>
      </c>
      <c r="AM10" t="str">
        <f>"&lt;img alt=""" &amp; Infill[[#This Row],[SVG]] &amp; """ src=""https://github.com/OrcaSlicer/OrcaSlicer/blob/main/resources/images/" &amp; Infill[[#This Row],[SVG]] &amp; ".svg?raw=true"" height=""45""&gt;"</f>
        <v>&lt;img alt="param_grid" src="https://github.com/OrcaSlicer/OrcaSlicer/blob/main/resources/images/param_grid.svg?raw=true" height="45"&gt;</v>
      </c>
      <c r="AN10" s="2" t="str">
        <f>"["&amp;Infill[[#This Row],[name]]&amp;"](#"&amp;Infill[[#This Row],[nameMD]]&amp;")"</f>
        <v>[Grid](#grid)</v>
      </c>
      <c r="AO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Low ![level-to-worse-2](https://github.com/OrcaSlicer/OrcaSlicer_WIKI/blob/main/images/images/misc/level-to-worse-2.svg?raw=true)
    - **Material/Time (Higher better):** Normal-High ![level-to-better-5](https://github.com/OrcaSlicer/OrcaSlicer_WIKI/blob/main/images/images/misc/level-to-better-5.svg?raw=true)
    - **Layer time Variability:** None
- **Multiline:** [Non-Crossing](strength_settings_infill#non-crossing-strategy)
- **Applies to:**
  - **[Sparse Infill](strength_settings_infill#sparse-infill-density)**
![infill-top-grid](https://github.com/OrcaSlicer/OrcaSlicer_WIKI/blob/main/images/fill/infill-top-grid.png?raw=true)
</v>
      </c>
      <c r="AQ10" t="str">
        <f>IF(OR(Infill[[#This Row],[Is Infill]],Infill[[#This Row],[Is Surface]])," { """&amp;Infill[[#This Row],[infill]]&amp;""", "&amp;Infill[[#This Row],[ip]]&amp;" },","")</f>
        <v xml:space="preserve"> { "grid", ipGrid },</v>
      </c>
      <c r="AR10" t="str">
        <f>IF(OR(Infill[[#This Row],[Is Infill]],Infill[[#This Row],[Is Surface]]),"def-&gt;enum_values.push_back("""&amp;Infill[[#This Row],[infill]]&amp;""");","")</f>
        <v>def-&gt;enum_values.push_back("grid");</v>
      </c>
      <c r="AS10" t="str">
        <f>IF(OR(Infill[[#This Row],[Is Infill]],Infill[[#This Row],[Is Surface]]),"def-&gt;enum_labels.push_back(L("""&amp;Infill[[#This Row],[name]]&amp;"""));","")</f>
        <v>def-&gt;enum_labels.push_back(L("Grid"));</v>
      </c>
      <c r="AU10" t="str">
        <f>Infill[[#This Row],[SVG Link]]</f>
        <v>&lt;img alt="param_grid" src="https://github.com/OrcaSlicer/OrcaSlicer/blob/main/resources/images/param_grid.svg?raw=true" height="45"&gt;</v>
      </c>
      <c r="AV10" s="1" t="str">
        <f>Infill[[#This Row],[Pattern]]</f>
        <v>[Grid](#grid)</v>
      </c>
      <c r="AW10"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10" s="1" t="str">
        <f>Infill[[#This Row],[Material Usage Icon]]</f>
        <v>![level-to-worse-4](https://github.com/OrcaSlicer/OrcaSlicer_WIKI/blob/main/images/images/misc/level-to-worse-4.svg?raw=true)</v>
      </c>
      <c r="AY10" s="1" t="str">
        <f>Infill[[#This Row],[Print Time Icon]]</f>
        <v>![level-to-worse-2](https://github.com/OrcaSlicer/OrcaSlicer_WIKI/blob/main/images/images/misc/level-to-worse-2.svg?raw=true)</v>
      </c>
      <c r="AZ10" t="str">
        <f ca="1">Infill[[#This Row],[Layer time Variability]]</f>
        <v>None</v>
      </c>
      <c r="BA10" s="1" t="str">
        <f>Infill[[#This Row],[Multiline]]</f>
        <v>[Non-Crossing](strength_settings_infill#non-crossing-strategy)</v>
      </c>
    </row>
    <row r="11" spans="1:53" ht="270" x14ac:dyDescent="0.25">
      <c r="A11" t="s">
        <v>188</v>
      </c>
      <c r="B11" t="s">
        <v>171</v>
      </c>
      <c r="E11">
        <v>9</v>
      </c>
      <c r="F11" t="b">
        <v>1</v>
      </c>
      <c r="G11" t="b">
        <v>0</v>
      </c>
      <c r="H11" t="b">
        <v>0</v>
      </c>
      <c r="I11" t="s">
        <v>5</v>
      </c>
      <c r="J11" t="s">
        <v>154</v>
      </c>
      <c r="K11" t="s">
        <v>95</v>
      </c>
      <c r="L11" t="s">
        <v>124</v>
      </c>
      <c r="M11" t="s">
        <v>225</v>
      </c>
      <c r="N11" s="6" t="s">
        <v>55</v>
      </c>
      <c r="O11">
        <v>6</v>
      </c>
      <c r="P11" t="str">
        <f>_xlfn.XLOOKUP(Infill[[#This Row],[XY-N]],Rating[N],Rating[Name])</f>
        <v>High</v>
      </c>
      <c r="Q11" t="str">
        <f>_xlfn.XLOOKUP(Infill[[#This Row],[XY-N]],Rating[N],Rating[level-to-better])</f>
        <v>![level-to-better-6](https://github.com/OrcaSlicer/OrcaSlicer_WIKI/blob/main/images/images/misc/level-to-better-6.svg?raw=true)</v>
      </c>
      <c r="R11">
        <v>4</v>
      </c>
      <c r="S11" t="str">
        <f>_xlfn.XLOOKUP(Infill[[#This Row],[Z-N]],Rating[N],Rating[Name])</f>
        <v>Normal</v>
      </c>
      <c r="T11" t="str">
        <f>_xlfn.XLOOKUP(Infill[[#This Row],[Z-N]],Rating[N],Rating[level-to-better])</f>
        <v>![level-to-better-4](https://github.com/OrcaSlicer/OrcaSlicer_WIKI/blob/main/images/images/misc/level-to-better-4.svg?raw=true)</v>
      </c>
      <c r="U11" s="11">
        <f ca="1">_xlfn.XLOOKUP(Infill[[#This Row],[infill]],Tabla7[infill],Tabla7[% 2 Sigma])</f>
        <v>5.2915881382993302E-3</v>
      </c>
      <c r="V11" t="str">
        <f ca="1">_xlfn.XLOOKUP(Infill[[#This Row],[% 2 Sigma]],AbsRating[Max %],AbsRating[Name],,1)</f>
        <v>None</v>
      </c>
      <c r="W11" t="str">
        <f ca="1">_xlfn.XLOOKUP(Infill[[#This Row],[% 2 Sigma]],AbsRating[Max %],AbsRating[icon],,1)</f>
        <v>🟢</v>
      </c>
      <c r="X11" s="2" t="s">
        <v>73</v>
      </c>
      <c r="Y11">
        <f>_xlfn.XLOOKUP(Infill[[#This Row],[infill]],Tabla7[infill],Tabla7[g])</f>
        <v>149.238</v>
      </c>
      <c r="Z11" s="2">
        <f>Infill[[#This Row],[g]]/(997.25*0.15)</f>
        <v>0.99766357483078461</v>
      </c>
      <c r="AA11" s="2" t="str">
        <f>_xlfn.XLOOKUP(Infill[[#This Row],[% Effective]],Rating[Max %],Rating[Name],,1)</f>
        <v>Normal</v>
      </c>
      <c r="AB11" s="2" t="str">
        <f>_xlfn.XLOOKUP(Infill[[#This Row],[% Effective]],Rating[Max %],Rating[level-to-worse],,1)</f>
        <v>![level-to-worse-4](https://github.com/OrcaSlicer/OrcaSlicer_WIKI/blob/main/images/images/misc/level-to-worse-4.svg?raw=true)</v>
      </c>
      <c r="AC11">
        <f>_xlfn.XLOOKUP(Infill[[#This Row],[infill]],Tabla7[infill],Tabla7[Total Time])</f>
        <v>237.393</v>
      </c>
      <c r="AD11" s="2">
        <f>Infill[[#This Row],[Total Time]]/AVERAGEIFS(Infill[Total Time],Infill[Material Usage Icon],_xlfn.XLOOKUP("Normal",Rating[Name],Rating[level-to-worse]))</f>
        <v>0.77926969288903647</v>
      </c>
      <c r="AE11" s="2" t="str">
        <f>_xlfn.XLOOKUP(Infill[[#This Row],[t prom]],Rating[Max %],Rating[Name],,1)</f>
        <v>Normal-Low</v>
      </c>
      <c r="AF11" s="2" t="str">
        <f>_xlfn.XLOOKUP(Infill[[#This Row],[t prom]],Rating[Max %],Rating[level-to-worse],,1)</f>
        <v>![level-to-worse-3](https://github.com/OrcaSlicer/OrcaSlicer_WIKI/blob/main/images/images/misc/level-to-worse-3.svg?raw=true)</v>
      </c>
      <c r="AG11" s="3">
        <f>Infill[[#This Row],[g]]/Infill[[#This Row],[Total Time]]</f>
        <v>0.62865375137430335</v>
      </c>
      <c r="AH11" s="2">
        <f>Infill[[#This Row],[g/t]]/AVERAGEIFS(Infill[g/t],Infill[Material Usage Icon],_xlfn.XLOOKUP("Normal",Rating[Name],Rating[level-to-worse]))</f>
        <v>1.1538348102071276</v>
      </c>
      <c r="AI11" s="2" t="str">
        <f>_xlfn.XLOOKUP(Infill[[#This Row],[g/t prom]],Rating[Max %],Rating[Name],,1)</f>
        <v>Normal-High</v>
      </c>
      <c r="AJ11" s="1" t="str">
        <f>_xlfn.XLOOKUP(Infill[[#This Row],[g/t prom]],Rating[Max %],Rating[level-to-better],,1)</f>
        <v>![level-to-better-5](https://github.com/OrcaSlicer/OrcaSlicer_WIKI/blob/main/images/images/misc/level-to-better-5.svg?raw=true)</v>
      </c>
      <c r="AK11" s="2" t="str">
        <f>SUBSTITUTE(LOWER(Infill[[#This Row],[name]])," ","-")</f>
        <v>triangles</v>
      </c>
      <c r="AL11" t="str">
        <f>"param_"&amp;Infill[[#This Row],[infill]]</f>
        <v>param_triangles</v>
      </c>
      <c r="AM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N11" s="2" t="str">
        <f>"["&amp;Infill[[#This Row],[name]]&amp;"](#"&amp;Infill[[#This Row],[nameMD]]&amp;")"</f>
        <v>[Triangles](#triangles)</v>
      </c>
      <c r="AO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![level-to-better-6](https://github.com/OrcaSlicer/OrcaSlicer_WIKI/blob/main/images/images/misc/level-to-better-6.svg?raw=true)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[Non-Crossing](strength_settings_infill#non-crossing-strategy)
- **Applies to:**
  - **[Sparse Infill](strength_settings_infill#sparse-infill-density)**
![infill-top-triangles](https://github.com/OrcaSlicer/OrcaSlicer_WIKI/blob/main/images/fill/infill-top-triangles.png?raw=true)
</v>
      </c>
      <c r="AQ11" t="str">
        <f>IF(OR(Infill[[#This Row],[Is Infill]],Infill[[#This Row],[Is Surface]])," { """&amp;Infill[[#This Row],[infill]]&amp;""", "&amp;Infill[[#This Row],[ip]]&amp;" },","")</f>
        <v xml:space="preserve"> { "triangles", ipTriangles },</v>
      </c>
      <c r="AR11" t="str">
        <f>IF(OR(Infill[[#This Row],[Is Infill]],Infill[[#This Row],[Is Surface]]),"def-&gt;enum_values.push_back("""&amp;Infill[[#This Row],[infill]]&amp;""");","")</f>
        <v>def-&gt;enum_values.push_back("triangles");</v>
      </c>
      <c r="AS11" t="str">
        <f>IF(OR(Infill[[#This Row],[Is Infill]],Infill[[#This Row],[Is Surface]]),"def-&gt;enum_labels.push_back(L("""&amp;Infill[[#This Row],[name]]&amp;"""));","")</f>
        <v>def-&gt;enum_labels.push_back(L("Triangles"));</v>
      </c>
      <c r="AU11" t="str">
        <f>Infill[[#This Row],[SVG Link]]</f>
        <v>&lt;img alt="param_triangles" src="https://github.com/OrcaSlicer/OrcaSlicer/blob/main/resources/images/param_triangles.svg?raw=true" height="45"&gt;</v>
      </c>
      <c r="AV11" s="1" t="str">
        <f>Infill[[#This Row],[Pattern]]</f>
        <v>[Triangles](#triangles)</v>
      </c>
      <c r="AW11" s="6" t="str">
        <f>"X-Y: "&amp;Infill[[#This Row],[X-Y Strength Icon]]&amp;"
Z: "&amp;Infill[[#This Row],[Z Strength Icon]]</f>
        <v>X-Y: ![level-to-better-6](https://github.com/OrcaSlicer/OrcaSlicer_WIKI/blob/main/images/images/misc/level-to-better-6.svg?raw=true)
Z: ![level-to-better-4](https://github.com/OrcaSlicer/OrcaSlicer_WIKI/blob/main/images/images/misc/level-to-better-4.svg?raw=true)</v>
      </c>
      <c r="AX11" s="1" t="str">
        <f>Infill[[#This Row],[Material Usage Icon]]</f>
        <v>![level-to-worse-4](https://github.com/OrcaSlicer/OrcaSlicer_WIKI/blob/main/images/images/misc/level-to-worse-4.svg?raw=true)</v>
      </c>
      <c r="AY11" s="1" t="str">
        <f>Infill[[#This Row],[Print Time Icon]]</f>
        <v>![level-to-worse-3](https://github.com/OrcaSlicer/OrcaSlicer_WIKI/blob/main/images/images/misc/level-to-worse-3.svg?raw=true)</v>
      </c>
      <c r="AZ11" t="str">
        <f ca="1">Infill[[#This Row],[Layer time Variability]]</f>
        <v>None</v>
      </c>
      <c r="BA11" s="1" t="str">
        <f>Infill[[#This Row],[Multiline]]</f>
        <v>[Non-Crossing](strength_settings_infill#non-crossing-strategy)</v>
      </c>
    </row>
    <row r="12" spans="1:53" ht="270" x14ac:dyDescent="0.25">
      <c r="A12" t="s">
        <v>189</v>
      </c>
      <c r="B12" t="s">
        <v>173</v>
      </c>
      <c r="E12">
        <v>10</v>
      </c>
      <c r="F12" t="b">
        <v>1</v>
      </c>
      <c r="G12" t="b">
        <v>0</v>
      </c>
      <c r="H12" t="b">
        <v>0</v>
      </c>
      <c r="I12" t="s">
        <v>6</v>
      </c>
      <c r="J12" t="s">
        <v>154</v>
      </c>
      <c r="K12" t="s">
        <v>96</v>
      </c>
      <c r="L12" t="s">
        <v>125</v>
      </c>
      <c r="M12" t="s">
        <v>224</v>
      </c>
      <c r="N12" s="6" t="s">
        <v>56</v>
      </c>
      <c r="O12">
        <v>6</v>
      </c>
      <c r="P12" t="str">
        <f>_xlfn.XLOOKUP(Infill[[#This Row],[XY-N]],Rating[N],Rating[Name])</f>
        <v>High</v>
      </c>
      <c r="Q12" t="str">
        <f>_xlfn.XLOOKUP(Infill[[#This Row],[XY-N]],Rating[N],Rating[level-to-better])</f>
        <v>![level-to-better-6](https://github.com/OrcaSlicer/OrcaSlicer_WIKI/blob/main/images/images/misc/level-to-better-6.svg?raw=true)</v>
      </c>
      <c r="R12">
        <v>5</v>
      </c>
      <c r="S12" t="str">
        <f>_xlfn.XLOOKUP(Infill[[#This Row],[Z-N]],Rating[N],Rating[Name])</f>
        <v>Normal-High</v>
      </c>
      <c r="T12" t="str">
        <f>_xlfn.XLOOKUP(Infill[[#This Row],[Z-N]],Rating[N],Rating[level-to-better])</f>
        <v>![level-to-better-5](https://github.com/OrcaSlicer/OrcaSlicer_WIKI/blob/main/images/images/misc/level-to-better-5.svg?raw=true)</v>
      </c>
      <c r="U12" s="11">
        <f ca="1">_xlfn.XLOOKUP(Infill[[#This Row],[infill]],Tabla7[infill],Tabla7[% 2 Sigma])</f>
        <v>6.8892617533744538E-3</v>
      </c>
      <c r="V12" t="str">
        <f ca="1">_xlfn.XLOOKUP(Infill[[#This Row],[% 2 Sigma]],AbsRating[Max %],AbsRating[Name],,1)</f>
        <v>None</v>
      </c>
      <c r="W12" t="str">
        <f ca="1">_xlfn.XLOOKUP(Infill[[#This Row],[% 2 Sigma]],AbsRating[Max %],AbsRating[icon],,1)</f>
        <v>🟢</v>
      </c>
      <c r="X12" s="2" t="s">
        <v>73</v>
      </c>
      <c r="Y12">
        <f>_xlfn.XLOOKUP(Infill[[#This Row],[infill]],Tabla7[infill],Tabla7[g])</f>
        <v>149.01599999999999</v>
      </c>
      <c r="Z12" s="2">
        <f>Infill[[#This Row],[g]]/(997.25*0.15)</f>
        <v>0.99617949360742031</v>
      </c>
      <c r="AA12" s="2" t="str">
        <f>_xlfn.XLOOKUP(Infill[[#This Row],[% Effective]],Rating[Max %],Rating[Name],,1)</f>
        <v>Normal</v>
      </c>
      <c r="AB12" s="2" t="str">
        <f>_xlfn.XLOOKUP(Infill[[#This Row],[% Effective]],Rating[Max %],Rating[level-to-worse],,1)</f>
        <v>![level-to-worse-4](https://github.com/OrcaSlicer/OrcaSlicer_WIKI/blob/main/images/images/misc/level-to-worse-4.svg?raw=true)</v>
      </c>
      <c r="AC12">
        <f>_xlfn.XLOOKUP(Infill[[#This Row],[infill]],Tabla7[infill],Tabla7[Total Time])</f>
        <v>235.82900000000001</v>
      </c>
      <c r="AD12" s="2">
        <f>Infill[[#This Row],[Total Time]]/AVERAGEIFS(Infill[Total Time],Infill[Material Usage Icon],_xlfn.XLOOKUP("Normal",Rating[Name],Rating[level-to-worse]))</f>
        <v>0.77413568388422815</v>
      </c>
      <c r="AE12" s="2" t="str">
        <f>_xlfn.XLOOKUP(Infill[[#This Row],[t prom]],Rating[Max %],Rating[Name],,1)</f>
        <v>Normal-Low</v>
      </c>
      <c r="AF12" s="2" t="str">
        <f>_xlfn.XLOOKUP(Infill[[#This Row],[t prom]],Rating[Max %],Rating[level-to-worse],,1)</f>
        <v>![level-to-worse-3](https://github.com/OrcaSlicer/OrcaSlicer_WIKI/blob/main/images/images/misc/level-to-worse-3.svg?raw=true)</v>
      </c>
      <c r="AG12" s="3">
        <f>Infill[[#This Row],[g]]/Infill[[#This Row],[Total Time]]</f>
        <v>0.63188157520915578</v>
      </c>
      <c r="AH12" s="2">
        <f>Infill[[#This Row],[g/t]]/AVERAGEIFS(Infill[g/t],Infill[Material Usage Icon],_xlfn.XLOOKUP("Normal",Rating[Name],Rating[level-to-worse]))</f>
        <v>1.159759177147955</v>
      </c>
      <c r="AI12" s="2" t="str">
        <f>_xlfn.XLOOKUP(Infill[[#This Row],[g/t prom]],Rating[Max %],Rating[Name],,1)</f>
        <v>Normal-High</v>
      </c>
      <c r="AJ12" s="1" t="str">
        <f>_xlfn.XLOOKUP(Infill[[#This Row],[g/t prom]],Rating[Max %],Rating[level-to-better],,1)</f>
        <v>![level-to-better-5](https://github.com/OrcaSlicer/OrcaSlicer_WIKI/blob/main/images/images/misc/level-to-better-5.svg?raw=true)</v>
      </c>
      <c r="AK12" s="2" t="str">
        <f>SUBSTITUTE(LOWER(Infill[[#This Row],[name]])," ","-")</f>
        <v>tri-hexagon</v>
      </c>
      <c r="AL12" t="str">
        <f>"param_"&amp;Infill[[#This Row],[infill]]</f>
        <v>param_tri-hexagon</v>
      </c>
      <c r="AM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N12" s="2" t="str">
        <f>"["&amp;Infill[[#This Row],[name]]&amp;"](#"&amp;Infill[[#This Row],[nameMD]]&amp;")"</f>
        <v>[Tri-hexagon](#tri-hexagon)</v>
      </c>
      <c r="AO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![level-to-better-6](https://github.com/OrcaSlicer/OrcaSlicer_WIKI/blob/main/images/images/misc/level-to-better-6.svg?raw=true)
  - **Vertical (Z):** Normal-High ![level-to-better-5](https://github.com/OrcaSlicer/OrcaSlicer_WIKI/blob/main/images/images/misc/level-to-better-5.svg?raw=true)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[Classic](strength_settings_infill#classic-strategy)
- **Applies to:**
  - **[Sparse Infill](strength_settings_infill#sparse-infill-density)**
![infill-top-tri-hexagon](https://github.com/OrcaSlicer/OrcaSlicer_WIKI/blob/main/images/fill/infill-top-tri-hexagon.png?raw=true)
</v>
      </c>
      <c r="AQ12" t="str">
        <f>IF(OR(Infill[[#This Row],[Is Infill]],Infill[[#This Row],[Is Surface]])," { """&amp;Infill[[#This Row],[infill]]&amp;""", "&amp;Infill[[#This Row],[ip]]&amp;" },","")</f>
        <v xml:space="preserve"> { "tri-hexagon", ipStars },</v>
      </c>
      <c r="AR12" t="str">
        <f>IF(OR(Infill[[#This Row],[Is Infill]],Infill[[#This Row],[Is Surface]]),"def-&gt;enum_values.push_back("""&amp;Infill[[#This Row],[infill]]&amp;""");","")</f>
        <v>def-&gt;enum_values.push_back("tri-hexagon");</v>
      </c>
      <c r="AS12" t="str">
        <f>IF(OR(Infill[[#This Row],[Is Infill]],Infill[[#This Row],[Is Surface]]),"def-&gt;enum_labels.push_back(L("""&amp;Infill[[#This Row],[name]]&amp;"""));","")</f>
        <v>def-&gt;enum_labels.push_back(L("Tri-hexagon"));</v>
      </c>
      <c r="AU12" t="str">
        <f>Infill[[#This Row],[SVG Link]]</f>
        <v>&lt;img alt="param_tri-hexagon" src="https://github.com/OrcaSlicer/OrcaSlicer/blob/main/resources/images/param_tri-hexagon.svg?raw=true" height="45"&gt;</v>
      </c>
      <c r="AV12" s="1" t="str">
        <f>Infill[[#This Row],[Pattern]]</f>
        <v>[Tri-hexagon](#tri-hexagon)</v>
      </c>
      <c r="AW12" s="6" t="str">
        <f>"X-Y: "&amp;Infill[[#This Row],[X-Y Strength Icon]]&amp;"
Z: "&amp;Infill[[#This Row],[Z Strength Icon]]</f>
        <v>X-Y: ![level-to-better-6](https://github.com/OrcaSlicer/OrcaSlicer_WIKI/blob/main/images/images/misc/level-to-better-6.svg?raw=true)
Z: ![level-to-better-5](https://github.com/OrcaSlicer/OrcaSlicer_WIKI/blob/main/images/images/misc/level-to-better-5.svg?raw=true)</v>
      </c>
      <c r="AX12" s="1" t="str">
        <f>Infill[[#This Row],[Material Usage Icon]]</f>
        <v>![level-to-worse-4](https://github.com/OrcaSlicer/OrcaSlicer_WIKI/blob/main/images/images/misc/level-to-worse-4.svg?raw=true)</v>
      </c>
      <c r="AY12" s="1" t="str">
        <f>Infill[[#This Row],[Print Time Icon]]</f>
        <v>![level-to-worse-3](https://github.com/OrcaSlicer/OrcaSlicer_WIKI/blob/main/images/images/misc/level-to-worse-3.svg?raw=true)</v>
      </c>
      <c r="AZ12" t="str">
        <f ca="1">Infill[[#This Row],[Layer time Variability]]</f>
        <v>None</v>
      </c>
      <c r="BA12" s="1" t="str">
        <f>Infill[[#This Row],[Multiline]]</f>
        <v>[Classic](strength_settings_infill#classic-strategy)</v>
      </c>
    </row>
    <row r="13" spans="1:53" ht="270" x14ac:dyDescent="0.25">
      <c r="E13">
        <v>11</v>
      </c>
      <c r="F13" t="b">
        <v>1</v>
      </c>
      <c r="G13" t="b">
        <v>0</v>
      </c>
      <c r="H13" t="b">
        <v>0</v>
      </c>
      <c r="I13" t="s">
        <v>4</v>
      </c>
      <c r="J13" t="s">
        <v>4</v>
      </c>
      <c r="K13" t="s">
        <v>94</v>
      </c>
      <c r="L13" t="s">
        <v>123</v>
      </c>
      <c r="M13" t="s">
        <v>224</v>
      </c>
      <c r="N13" s="6" t="s">
        <v>54</v>
      </c>
      <c r="O13">
        <v>6</v>
      </c>
      <c r="P13" t="str">
        <f>_xlfn.XLOOKUP(Infill[[#This Row],[XY-N]],Rating[N],Rating[Name])</f>
        <v>High</v>
      </c>
      <c r="Q13" t="str">
        <f>_xlfn.XLOOKUP(Infill[[#This Row],[XY-N]],Rating[N],Rating[level-to-better])</f>
        <v>![level-to-better-6](https://github.com/OrcaSlicer/OrcaSlicer_WIKI/blob/main/images/images/misc/level-to-better-6.svg?raw=true)</v>
      </c>
      <c r="R13">
        <v>6</v>
      </c>
      <c r="S13" t="str">
        <f>_xlfn.XLOOKUP(Infill[[#This Row],[Z-N]],Rating[N],Rating[Name])</f>
        <v>High</v>
      </c>
      <c r="T13" t="str">
        <f>_xlfn.XLOOKUP(Infill[[#This Row],[Z-N]],Rating[N],Rating[level-to-better])</f>
        <v>![level-to-better-6](https://github.com/OrcaSlicer/OrcaSlicer_WIKI/blob/main/images/images/misc/level-to-better-6.svg?raw=true)</v>
      </c>
      <c r="U13" s="11">
        <f ca="1">_xlfn.XLOOKUP(Infill[[#This Row],[infill]],Tabla7[infill],Tabla7[% 2 Sigma])</f>
        <v>1.1121658311513682E-2</v>
      </c>
      <c r="V13" t="str">
        <f ca="1">_xlfn.XLOOKUP(Infill[[#This Row],[% 2 Sigma]],AbsRating[Max %],AbsRating[Name],,1)</f>
        <v>Unnoticeable</v>
      </c>
      <c r="W13" t="str">
        <f ca="1">_xlfn.XLOOKUP(Infill[[#This Row],[% 2 Sigma]],AbsRating[Max %],AbsRating[icon],,1)</f>
        <v>🔵</v>
      </c>
      <c r="X13" s="2" t="s">
        <v>73</v>
      </c>
      <c r="Y13">
        <f>_xlfn.XLOOKUP(Infill[[#This Row],[infill]],Tabla7[infill],Tabla7[g])</f>
        <v>149.00200000000001</v>
      </c>
      <c r="Z13" s="2">
        <f>Infill[[#This Row],[g]]/(997.25*0.15)</f>
        <v>0.99608590289964072</v>
      </c>
      <c r="AA13" s="2" t="str">
        <f>_xlfn.XLOOKUP(Infill[[#This Row],[% Effective]],Rating[Max %],Rating[Name],,1)</f>
        <v>Normal</v>
      </c>
      <c r="AB13" s="2" t="str">
        <f>_xlfn.XLOOKUP(Infill[[#This Row],[% Effective]],Rating[Max %],Rating[level-to-worse],,1)</f>
        <v>![level-to-worse-4](https://github.com/OrcaSlicer/OrcaSlicer_WIKI/blob/main/images/images/misc/level-to-worse-4.svg?raw=true)</v>
      </c>
      <c r="AC13">
        <f>_xlfn.XLOOKUP(Infill[[#This Row],[infill]],Tabla7[infill],Tabla7[Total Time])</f>
        <v>237.47900000000001</v>
      </c>
      <c r="AD13" s="2">
        <f>Infill[[#This Row],[Total Time]]/AVERAGEIFS(Infill[Total Time],Infill[Material Usage Icon],_xlfn.XLOOKUP("Normal",Rating[Name],Rating[level-to-worse]))</f>
        <v>0.77955199773201189</v>
      </c>
      <c r="AE13" s="2" t="str">
        <f>_xlfn.XLOOKUP(Infill[[#This Row],[t prom]],Rating[Max %],Rating[Name],,1)</f>
        <v>Normal-Low</v>
      </c>
      <c r="AF13" s="2" t="str">
        <f>_xlfn.XLOOKUP(Infill[[#This Row],[t prom]],Rating[Max %],Rating[level-to-worse],,1)</f>
        <v>![level-to-worse-3](https://github.com/OrcaSlicer/OrcaSlicer_WIKI/blob/main/images/images/misc/level-to-worse-3.svg?raw=true)</v>
      </c>
      <c r="AG13" s="3">
        <f>Infill[[#This Row],[g]]/Infill[[#This Row],[Total Time]]</f>
        <v>0.627432320331482</v>
      </c>
      <c r="AH13" s="2">
        <f>Infill[[#This Row],[g/t]]/AVERAGEIFS(Infill[g/t],Infill[Material Usage Icon],_xlfn.XLOOKUP("Normal",Rating[Name],Rating[level-to-worse]))</f>
        <v>1.1515929884532705</v>
      </c>
      <c r="AI13" s="2" t="str">
        <f>_xlfn.XLOOKUP(Infill[[#This Row],[g/t prom]],Rating[Max %],Rating[Name],,1)</f>
        <v>Normal-High</v>
      </c>
      <c r="AJ13" s="1" t="str">
        <f>_xlfn.XLOOKUP(Infill[[#This Row],[g/t prom]],Rating[Max %],Rating[level-to-better],,1)</f>
        <v>![level-to-better-5](https://github.com/OrcaSlicer/OrcaSlicer_WIKI/blob/main/images/images/misc/level-to-better-5.svg?raw=true)</v>
      </c>
      <c r="AK13" s="2" t="str">
        <f>SUBSTITUTE(LOWER(Infill[[#This Row],[name]])," ","-")</f>
        <v>cubic</v>
      </c>
      <c r="AL13" t="str">
        <f>"param_"&amp;Infill[[#This Row],[infill]]</f>
        <v>param_cubic</v>
      </c>
      <c r="AM13" t="str">
        <f>"&lt;img alt=""" &amp; Infill[[#This Row],[SVG]] &amp; """ src=""https://github.com/OrcaSlicer/OrcaSlicer/blob/main/resources/images/" &amp; Infill[[#This Row],[SVG]] &amp; ".svg?raw=true"" height=""45""&gt;"</f>
        <v>&lt;img alt="param_cubic" src="https://github.com/OrcaSlicer/OrcaSlicer/blob/main/resources/images/param_cubic.svg?raw=true" height="45"&gt;</v>
      </c>
      <c r="AN13" s="2" t="str">
        <f>"["&amp;Infill[[#This Row],[name]]&amp;"](#"&amp;Infill[[#This Row],[nameMD]]&amp;")"</f>
        <v>[Cubic](#cubic)</v>
      </c>
      <c r="AO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![infill-top-cubic](https://github.com/OrcaSlicer/OrcaSlicer_WIKI/blob/main/images/fill/infill-top-cubic.png?raw=true)
</v>
      </c>
      <c r="AQ13" t="str">
        <f>IF(OR(Infill[[#This Row],[Is Infill]],Infill[[#This Row],[Is Surface]])," { """&amp;Infill[[#This Row],[infill]]&amp;""", "&amp;Infill[[#This Row],[ip]]&amp;" },","")</f>
        <v xml:space="preserve"> { "cubic", ipCubic },</v>
      </c>
      <c r="AR13" t="str">
        <f>IF(OR(Infill[[#This Row],[Is Infill]],Infill[[#This Row],[Is Surface]]),"def-&gt;enum_values.push_back("""&amp;Infill[[#This Row],[infill]]&amp;""");","")</f>
        <v>def-&gt;enum_values.push_back("cubic");</v>
      </c>
      <c r="AS13" t="str">
        <f>IF(OR(Infill[[#This Row],[Is Infill]],Infill[[#This Row],[Is Surface]]),"def-&gt;enum_labels.push_back(L("""&amp;Infill[[#This Row],[name]]&amp;"""));","")</f>
        <v>def-&gt;enum_labels.push_back(L("Cubic"));</v>
      </c>
      <c r="AU13" t="str">
        <f>Infill[[#This Row],[SVG Link]]</f>
        <v>&lt;img alt="param_cubic" src="https://github.com/OrcaSlicer/OrcaSlicer/blob/main/resources/images/param_cubic.svg?raw=true" height="45"&gt;</v>
      </c>
      <c r="AV13" s="1" t="str">
        <f>Infill[[#This Row],[Pattern]]</f>
        <v>[Cubic](#cubic)</v>
      </c>
      <c r="AW13"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13" s="1" t="str">
        <f>Infill[[#This Row],[Material Usage Icon]]</f>
        <v>![level-to-worse-4](https://github.com/OrcaSlicer/OrcaSlicer_WIKI/blob/main/images/images/misc/level-to-worse-4.svg?raw=true)</v>
      </c>
      <c r="AY13" s="1" t="str">
        <f>Infill[[#This Row],[Print Time Icon]]</f>
        <v>![level-to-worse-3](https://github.com/OrcaSlicer/OrcaSlicer_WIKI/blob/main/images/images/misc/level-to-worse-3.svg?raw=true)</v>
      </c>
      <c r="AZ13" t="str">
        <f ca="1">Infill[[#This Row],[Layer time Variability]]</f>
        <v>Unnoticeable</v>
      </c>
      <c r="BA13" s="1" t="str">
        <f>Infill[[#This Row],[Multiline]]</f>
        <v>[Classic](strength_settings_infill#classic-strategy)</v>
      </c>
    </row>
    <row r="14" spans="1:53" ht="270" x14ac:dyDescent="0.25">
      <c r="E14">
        <v>12</v>
      </c>
      <c r="F14" t="b">
        <v>1</v>
      </c>
      <c r="G14" t="b">
        <v>0</v>
      </c>
      <c r="H14" t="b">
        <v>0</v>
      </c>
      <c r="I14" t="s">
        <v>10</v>
      </c>
      <c r="J14" t="s">
        <v>4</v>
      </c>
      <c r="K14" t="s">
        <v>100</v>
      </c>
      <c r="L14" t="s">
        <v>129</v>
      </c>
      <c r="M14" t="s">
        <v>224</v>
      </c>
      <c r="N14" s="6" t="s">
        <v>58</v>
      </c>
      <c r="O14">
        <v>5</v>
      </c>
      <c r="P14" t="str">
        <f>_xlfn.XLOOKUP(Infill[[#This Row],[XY-N]],Rating[N],Rating[Name])</f>
        <v>Normal-High</v>
      </c>
      <c r="Q14" t="str">
        <f>_xlfn.XLOOKUP(Infill[[#This Row],[XY-N]],Rating[N],Rating[level-to-better])</f>
        <v>![level-to-better-5](https://github.com/OrcaSlicer/OrcaSlicer_WIKI/blob/main/images/images/misc/level-to-better-5.svg?raw=true)</v>
      </c>
      <c r="R14">
        <v>5</v>
      </c>
      <c r="S14" t="str">
        <f>_xlfn.XLOOKUP(Infill[[#This Row],[Z-N]],Rating[N],Rating[Name])</f>
        <v>Normal-High</v>
      </c>
      <c r="T14" t="str">
        <f>_xlfn.XLOOKUP(Infill[[#This Row],[Z-N]],Rating[N],Rating[level-to-better])</f>
        <v>![level-to-better-5](https://github.com/OrcaSlicer/OrcaSlicer_WIKI/blob/main/images/images/misc/level-to-better-5.svg?raw=true)</v>
      </c>
      <c r="U14" s="11">
        <f ca="1">_xlfn.XLOOKUP(Infill[[#This Row],[infill]],Tabla7[infill],Tabla7[% 2 Sigma])</f>
        <v>0.16363163436614259</v>
      </c>
      <c r="V14" t="str">
        <f ca="1">_xlfn.XLOOKUP(Infill[[#This Row],[% 2 Sigma]],AbsRating[Max %],AbsRating[Name],,1)</f>
        <v>Unnoticeable</v>
      </c>
      <c r="W14" t="str">
        <f ca="1">_xlfn.XLOOKUP(Infill[[#This Row],[% 2 Sigma]],AbsRating[Max %],AbsRating[icon],,1)</f>
        <v>🔵</v>
      </c>
      <c r="X14" s="2" t="s">
        <v>74</v>
      </c>
      <c r="Y14">
        <f>_xlfn.XLOOKUP(Infill[[#This Row],[infill]],Tabla7[infill],Tabla7[g])</f>
        <v>95.183000000000007</v>
      </c>
      <c r="Z14" s="2">
        <f>Infill[[#This Row],[g]]/(997.25*0.15)</f>
        <v>0.63630316704270073</v>
      </c>
      <c r="AA14" s="2" t="str">
        <f>_xlfn.XLOOKUP(Infill[[#This Row],[% Effective]],Rating[Max %],Rating[Name],,1)</f>
        <v>Low</v>
      </c>
      <c r="AB14" s="2" t="str">
        <f>_xlfn.XLOOKUP(Infill[[#This Row],[% Effective]],Rating[Max %],Rating[level-to-worse],,1)</f>
        <v>![level-to-worse-2](https://github.com/OrcaSlicer/OrcaSlicer_WIKI/blob/main/images/images/misc/level-to-worse-2.svg?raw=true)</v>
      </c>
      <c r="AC14">
        <f>_xlfn.XLOOKUP(Infill[[#This Row],[infill]],Tabla7[infill],Tabla7[Total Time])</f>
        <v>163.452</v>
      </c>
      <c r="AD14" s="2">
        <f>Infill[[#This Row],[Total Time]]/AVERAGEIFS(Infill[Total Time],Infill[Material Usage Icon],_xlfn.XLOOKUP("Normal",Rating[Name],Rating[level-to-worse]))</f>
        <v>0.53654989760481053</v>
      </c>
      <c r="AE14" s="2" t="str">
        <f>_xlfn.XLOOKUP(Infill[[#This Row],[t prom]],Rating[Max %],Rating[Name],,1)</f>
        <v>Low</v>
      </c>
      <c r="AF14" s="2" t="str">
        <f>_xlfn.XLOOKUP(Infill[[#This Row],[t prom]],Rating[Max %],Rating[level-to-worse],,1)</f>
        <v>![level-to-worse-2](https://github.com/OrcaSlicer/OrcaSlicer_WIKI/blob/main/images/images/misc/level-to-worse-2.svg?raw=true)</v>
      </c>
      <c r="AG14" s="3">
        <f>Infill[[#This Row],[g]]/Infill[[#This Row],[Total Time]]</f>
        <v>0.58232998066710717</v>
      </c>
      <c r="AH14" s="2">
        <f>Infill[[#This Row],[g/t]]/AVERAGEIFS(Infill[g/t],Infill[Material Usage Icon],_xlfn.XLOOKUP("Normal",Rating[Name],Rating[level-to-worse]))</f>
        <v>1.0688118877077886</v>
      </c>
      <c r="AI14" s="2" t="str">
        <f>_xlfn.XLOOKUP(Infill[[#This Row],[g/t prom]],Rating[Max %],Rating[Name],,1)</f>
        <v>Normal</v>
      </c>
      <c r="AJ14" s="1" t="str">
        <f>_xlfn.XLOOKUP(Infill[[#This Row],[g/t prom]],Rating[Max %],Rating[level-to-better],,1)</f>
        <v>![level-to-better-4](https://github.com/OrcaSlicer/OrcaSlicer_WIKI/blob/main/images/images/misc/level-to-better-4.svg?raw=true)</v>
      </c>
      <c r="AK14" s="2" t="str">
        <f>SUBSTITUTE(LOWER(Infill[[#This Row],[name]])," ","-")</f>
        <v>adaptive-cubic</v>
      </c>
      <c r="AL14" t="str">
        <f>"param_"&amp;Infill[[#This Row],[infill]]</f>
        <v>param_adaptivecubic</v>
      </c>
      <c r="AM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N14" s="2" t="str">
        <f>"["&amp;Infill[[#This Row],[name]]&amp;"](#"&amp;Infill[[#This Row],[nameMD]]&amp;")"</f>
        <v>[Adaptive Cubic](#adaptive-cubic)</v>
      </c>
      <c r="AO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![level-to-better-5](https://github.com/OrcaSlicer/OrcaSlicer_WIKI/blob/main/images/images/misc/level-to-better-5.svg?raw=true)
  - **Vertical (Z):** Normal-High ![level-to-better-5](https://github.com/OrcaSlicer/OrcaSlicer_WIKI/blob/main/images/images/misc/level-to-better-5.svg?raw=true)
- **Density Calculation:** Same as [Cubic](#cubic) but reduced in the center
  - **Material Usage:** Low ![level-to-worse-2](https://github.com/OrcaSlicer/OrcaSlicer_WIKI/blob/main/images/images/misc/level-to-worse-2.svg?raw=true)
  - **Print Time:** Low ![level-to-worse-2](https://github.com/OrcaSlicer/OrcaSlicer_WIKI/blob/main/images/images/misc/level-to-worse-2.svg?raw=true)
    - **Material/Time (Higher better):** Normal ![level-to-better-4](https://github.com/OrcaSlicer/OrcaSlicer_WIKI/blob/main/images/images/misc/level-to-better-4.svg?raw=true)
    - **Layer time Variability:** Unnoticeable
- **Multiline:** [Classic](strength_settings_infill#classic-strategy)
- **Applies to:**
  - **[Sparse Infill](strength_settings_infill#sparse-infill-density)**
![infill-top-adaptive-cubic](https://github.com/OrcaSlicer/OrcaSlicer_WIKI/blob/main/images/fill/infill-top-adaptive-cubic.png?raw=true)
</v>
      </c>
      <c r="AQ14" t="str">
        <f>IF(OR(Infill[[#This Row],[Is Infill]],Infill[[#This Row],[Is Surface]])," { """&amp;Infill[[#This Row],[infill]]&amp;""", "&amp;Infill[[#This Row],[ip]]&amp;" },","")</f>
        <v xml:space="preserve"> { "adaptivecubic", ipAdaptiveCubic },</v>
      </c>
      <c r="AR14" t="str">
        <f>IF(OR(Infill[[#This Row],[Is Infill]],Infill[[#This Row],[Is Surface]]),"def-&gt;enum_values.push_back("""&amp;Infill[[#This Row],[infill]]&amp;""");","")</f>
        <v>def-&gt;enum_values.push_back("adaptivecubic");</v>
      </c>
      <c r="AS14" t="str">
        <f>IF(OR(Infill[[#This Row],[Is Infill]],Infill[[#This Row],[Is Surface]]),"def-&gt;enum_labels.push_back(L("""&amp;Infill[[#This Row],[name]]&amp;"""));","")</f>
        <v>def-&gt;enum_labels.push_back(L("Adaptive Cubic"));</v>
      </c>
      <c r="AU14" t="str">
        <f>Infill[[#This Row],[SVG Link]]</f>
        <v>&lt;img alt="param_adaptivecubic" src="https://github.com/OrcaSlicer/OrcaSlicer/blob/main/resources/images/param_adaptivecubic.svg?raw=true" height="45"&gt;</v>
      </c>
      <c r="AV14" s="1" t="str">
        <f>Infill[[#This Row],[Pattern]]</f>
        <v>[Adaptive Cubic](#adaptive-cubic)</v>
      </c>
      <c r="AW14" s="6" t="str">
        <f>"X-Y: "&amp;Infill[[#This Row],[X-Y Strength Icon]]&amp;"
Z: "&amp;Infill[[#This Row],[Z Strength Icon]]</f>
        <v>X-Y: ![level-to-better-5](https://github.com/OrcaSlicer/OrcaSlicer_WIKI/blob/main/images/images/misc/level-to-better-5.svg?raw=true)
Z: ![level-to-better-5](https://github.com/OrcaSlicer/OrcaSlicer_WIKI/blob/main/images/images/misc/level-to-better-5.svg?raw=true)</v>
      </c>
      <c r="AX14" s="1" t="str">
        <f>Infill[[#This Row],[Material Usage Icon]]</f>
        <v>![level-to-worse-2](https://github.com/OrcaSlicer/OrcaSlicer_WIKI/blob/main/images/images/misc/level-to-worse-2.svg?raw=true)</v>
      </c>
      <c r="AY14" s="1" t="str">
        <f>Infill[[#This Row],[Print Time Icon]]</f>
        <v>![level-to-worse-2](https://github.com/OrcaSlicer/OrcaSlicer_WIKI/blob/main/images/images/misc/level-to-worse-2.svg?raw=true)</v>
      </c>
      <c r="AZ14" t="str">
        <f ca="1">Infill[[#This Row],[Layer time Variability]]</f>
        <v>Unnoticeable</v>
      </c>
      <c r="BA14" s="1" t="str">
        <f>Infill[[#This Row],[Multiline]]</f>
        <v>[Classic](strength_settings_infill#classic-strategy)</v>
      </c>
    </row>
    <row r="15" spans="1:53" ht="270" x14ac:dyDescent="0.25">
      <c r="E15">
        <v>13</v>
      </c>
      <c r="F15" t="b">
        <v>1</v>
      </c>
      <c r="G15" t="b">
        <v>0</v>
      </c>
      <c r="H15" t="b">
        <v>0</v>
      </c>
      <c r="I15" t="s">
        <v>38</v>
      </c>
      <c r="J15" t="s">
        <v>4</v>
      </c>
      <c r="K15" t="s">
        <v>113</v>
      </c>
      <c r="L15" t="s">
        <v>138</v>
      </c>
      <c r="M15" t="s">
        <v>224</v>
      </c>
      <c r="N15" s="6" t="s">
        <v>63</v>
      </c>
      <c r="O15">
        <v>6</v>
      </c>
      <c r="P15" t="str">
        <f>_xlfn.XLOOKUP(Infill[[#This Row],[XY-N]],Rating[N],Rating[Name])</f>
        <v>High</v>
      </c>
      <c r="Q15" t="str">
        <f>_xlfn.XLOOKUP(Infill[[#This Row],[XY-N]],Rating[N],Rating[level-to-better])</f>
        <v>![level-to-better-6](https://github.com/OrcaSlicer/OrcaSlicer_WIKI/blob/main/images/images/misc/level-to-better-6.svg?raw=true)</v>
      </c>
      <c r="R15">
        <v>6</v>
      </c>
      <c r="S15" t="str">
        <f>_xlfn.XLOOKUP(Infill[[#This Row],[Z-N]],Rating[N],Rating[Name])</f>
        <v>High</v>
      </c>
      <c r="T15" t="str">
        <f>_xlfn.XLOOKUP(Infill[[#This Row],[Z-N]],Rating[N],Rating[level-to-better])</f>
        <v>![level-to-better-6](https://github.com/OrcaSlicer/OrcaSlicer_WIKI/blob/main/images/images/misc/level-to-better-6.svg?raw=true)</v>
      </c>
      <c r="U15" s="11">
        <f ca="1">_xlfn.XLOOKUP(Infill[[#This Row],[infill]],Tabla7[infill],Tabla7[% 2 Sigma])</f>
        <v>3.4570182396706839E-2</v>
      </c>
      <c r="V15" t="str">
        <f ca="1">_xlfn.XLOOKUP(Infill[[#This Row],[% 2 Sigma]],AbsRating[Max %],AbsRating[Name],,1)</f>
        <v>Unnoticeable</v>
      </c>
      <c r="W15" t="str">
        <f ca="1">_xlfn.XLOOKUP(Infill[[#This Row],[% 2 Sigma]],AbsRating[Max %],AbsRating[icon],,1)</f>
        <v>🔵</v>
      </c>
      <c r="X15" s="2" t="s">
        <v>73</v>
      </c>
      <c r="Y15">
        <f>_xlfn.XLOOKUP(Infill[[#This Row],[infill]],Tabla7[infill],Tabla7[g])</f>
        <v>149.02099999999999</v>
      </c>
      <c r="Z15" s="2">
        <f>Infill[[#This Row],[g]]/(997.25*0.15)</f>
        <v>0.9962129188601988</v>
      </c>
      <c r="AA15" s="2" t="str">
        <f>_xlfn.XLOOKUP(Infill[[#This Row],[% Effective]],Rating[Max %],Rating[Name],,1)</f>
        <v>Normal</v>
      </c>
      <c r="AB15" s="2" t="str">
        <f>_xlfn.XLOOKUP(Infill[[#This Row],[% Effective]],Rating[Max %],Rating[level-to-worse],,1)</f>
        <v>![level-to-worse-4](https://github.com/OrcaSlicer/OrcaSlicer_WIKI/blob/main/images/images/misc/level-to-worse-4.svg?raw=true)</v>
      </c>
      <c r="AC15">
        <f>_xlfn.XLOOKUP(Infill[[#This Row],[infill]],Tabla7[infill],Tabla7[Total Time])</f>
        <v>240.721</v>
      </c>
      <c r="AD15" s="2">
        <f>Infill[[#This Row],[Total Time]]/AVERAGEIFS(Infill[Total Time],Infill[Material Usage Icon],_xlfn.XLOOKUP("Normal",Rating[Name],Rating[level-to-worse]))</f>
        <v>0.79019423378929354</v>
      </c>
      <c r="AE15" s="2" t="str">
        <f>_xlfn.XLOOKUP(Infill[[#This Row],[t prom]],Rating[Max %],Rating[Name],,1)</f>
        <v>Normal-Low</v>
      </c>
      <c r="AF15" s="2" t="str">
        <f>_xlfn.XLOOKUP(Infill[[#This Row],[t prom]],Rating[Max %],Rating[level-to-worse],,1)</f>
        <v>![level-to-worse-3](https://github.com/OrcaSlicer/OrcaSlicer_WIKI/blob/main/images/images/misc/level-to-worse-3.svg?raw=true)</v>
      </c>
      <c r="AG15" s="3">
        <f>Infill[[#This Row],[g]]/Infill[[#This Row],[Total Time]]</f>
        <v>0.61906107070010508</v>
      </c>
      <c r="AH15" s="2">
        <f>Infill[[#This Row],[g/t]]/AVERAGEIFS(Infill[g/t],Infill[Material Usage Icon],_xlfn.XLOOKUP("Normal",Rating[Name],Rating[level-to-worse]))</f>
        <v>1.1362283474112014</v>
      </c>
      <c r="AI15" s="2" t="str">
        <f>_xlfn.XLOOKUP(Infill[[#This Row],[g/t prom]],Rating[Max %],Rating[Name],,1)</f>
        <v>Normal-High</v>
      </c>
      <c r="AJ15" s="1" t="str">
        <f>_xlfn.XLOOKUP(Infill[[#This Row],[g/t prom]],Rating[Max %],Rating[level-to-better],,1)</f>
        <v>![level-to-better-5](https://github.com/OrcaSlicer/OrcaSlicer_WIKI/blob/main/images/images/misc/level-to-better-5.svg?raw=true)</v>
      </c>
      <c r="AK15" s="2" t="str">
        <f>SUBSTITUTE(LOWER(Infill[[#This Row],[name]])," ","-")</f>
        <v>quarter-cubic</v>
      </c>
      <c r="AL15" t="str">
        <f>"param_"&amp;Infill[[#This Row],[infill]]</f>
        <v>param_quartercubic</v>
      </c>
      <c r="AM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N15" s="2" t="str">
        <f>"["&amp;Infill[[#This Row],[name]]&amp;"](#"&amp;Infill[[#This Row],[nameMD]]&amp;")"</f>
        <v>[Quarter Cubic](#quarter-cubic)</v>
      </c>
      <c r="AO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![infill-top-quarter-cubic](https://github.com/OrcaSlicer/OrcaSlicer_WIKI/blob/main/images/fill/infill-top-quarter-cubic.png?raw=true)
</v>
      </c>
      <c r="AQ15" t="str">
        <f>IF(OR(Infill[[#This Row],[Is Infill]],Infill[[#This Row],[Is Surface]])," { """&amp;Infill[[#This Row],[infill]]&amp;""", "&amp;Infill[[#This Row],[ip]]&amp;" },","")</f>
        <v xml:space="preserve"> { "quartercubic", ipQuarterCubic },</v>
      </c>
      <c r="AR15" t="str">
        <f>IF(OR(Infill[[#This Row],[Is Infill]],Infill[[#This Row],[Is Surface]]),"def-&gt;enum_values.push_back("""&amp;Infill[[#This Row],[infill]]&amp;""");","")</f>
        <v>def-&gt;enum_values.push_back("quartercubic");</v>
      </c>
      <c r="AS15" t="str">
        <f>IF(OR(Infill[[#This Row],[Is Infill]],Infill[[#This Row],[Is Surface]]),"def-&gt;enum_labels.push_back(L("""&amp;Infill[[#This Row],[name]]&amp;"""));","")</f>
        <v>def-&gt;enum_labels.push_back(L("Quarter Cubic"));</v>
      </c>
      <c r="AU15" t="str">
        <f>Infill[[#This Row],[SVG Link]]</f>
        <v>&lt;img alt="param_quartercubic" src="https://github.com/OrcaSlicer/OrcaSlicer/blob/main/resources/images/param_quartercubic.svg?raw=true" height="45"&gt;</v>
      </c>
      <c r="AV15" s="1" t="str">
        <f>Infill[[#This Row],[Pattern]]</f>
        <v>[Quarter Cubic](#quarter-cubic)</v>
      </c>
      <c r="AW15"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15" s="1" t="str">
        <f>Infill[[#This Row],[Material Usage Icon]]</f>
        <v>![level-to-worse-4](https://github.com/OrcaSlicer/OrcaSlicer_WIKI/blob/main/images/images/misc/level-to-worse-4.svg?raw=true)</v>
      </c>
      <c r="AY15" s="1" t="str">
        <f>Infill[[#This Row],[Print Time Icon]]</f>
        <v>![level-to-worse-3](https://github.com/OrcaSlicer/OrcaSlicer_WIKI/blob/main/images/images/misc/level-to-worse-3.svg?raw=true)</v>
      </c>
      <c r="AZ15" t="str">
        <f ca="1">Infill[[#This Row],[Layer time Variability]]</f>
        <v>Unnoticeable</v>
      </c>
      <c r="BA15" s="1" t="str">
        <f>Infill[[#This Row],[Multiline]]</f>
        <v>[Classic](strength_settings_infill#classic-strategy)</v>
      </c>
    </row>
    <row r="16" spans="1:53" ht="270" x14ac:dyDescent="0.25">
      <c r="E16">
        <v>14</v>
      </c>
      <c r="F16" t="b">
        <v>1</v>
      </c>
      <c r="G16" t="b">
        <v>0</v>
      </c>
      <c r="H16" t="b">
        <v>0</v>
      </c>
      <c r="I16" t="s">
        <v>16</v>
      </c>
      <c r="J16" t="s">
        <v>159</v>
      </c>
      <c r="K16" t="s">
        <v>108</v>
      </c>
      <c r="L16" t="s">
        <v>135</v>
      </c>
      <c r="M16" t="s">
        <v>224</v>
      </c>
      <c r="N16" s="6" t="s">
        <v>61</v>
      </c>
      <c r="O16">
        <v>2</v>
      </c>
      <c r="P16" t="str">
        <f>_xlfn.XLOOKUP(Infill[[#This Row],[XY-N]],Rating[N],Rating[Name])</f>
        <v>Low</v>
      </c>
      <c r="Q16" t="str">
        <f>_xlfn.XLOOKUP(Infill[[#This Row],[XY-N]],Rating[N],Rating[level-to-better])</f>
        <v>![level-to-better-2](https://github.com/OrcaSlicer/OrcaSlicer_WIKI/blob/main/images/images/misc/level-to-better-2.svg?raw=true)</v>
      </c>
      <c r="R16">
        <v>2</v>
      </c>
      <c r="S16" t="str">
        <f>_xlfn.XLOOKUP(Infill[[#This Row],[Z-N]],Rating[N],Rating[Name])</f>
        <v>Low</v>
      </c>
      <c r="T16" t="str">
        <f>_xlfn.XLOOKUP(Infill[[#This Row],[Z-N]],Rating[N],Rating[level-to-better])</f>
        <v>![level-to-better-2](https://github.com/OrcaSlicer/OrcaSlicer_WIKI/blob/main/images/images/misc/level-to-better-2.svg?raw=true)</v>
      </c>
      <c r="U16" s="11">
        <f ca="1">_xlfn.XLOOKUP(Infill[[#This Row],[infill]],Tabla7[infill],Tabla7[% 2 Sigma])</f>
        <v>0.92158266936179833</v>
      </c>
      <c r="V16" t="str">
        <f ca="1">_xlfn.XLOOKUP(Infill[[#This Row],[% 2 Sigma]],AbsRating[Max %],AbsRating[Name],,1)</f>
        <v>Likely Noticeable</v>
      </c>
      <c r="W16" t="str">
        <f ca="1">_xlfn.XLOOKUP(Infill[[#This Row],[% 2 Sigma]],AbsRating[Max %],AbsRating[icon],,1)</f>
        <v>🔴</v>
      </c>
      <c r="X16" s="2" t="s">
        <v>75</v>
      </c>
      <c r="Y16">
        <f>_xlfn.XLOOKUP(Infill[[#This Row],[infill]],Tabla7[infill],Tabla7[g])</f>
        <v>38.832999999999998</v>
      </c>
      <c r="Z16" s="2">
        <f>Infill[[#This Row],[g]]/(997.25*0.15)</f>
        <v>0.25960056822929722</v>
      </c>
      <c r="AA16" s="2" t="str">
        <f>_xlfn.XLOOKUP(Infill[[#This Row],[% Effective]],Rating[Max %],Rating[Name],,1)</f>
        <v>Extra-Low</v>
      </c>
      <c r="AB16" s="2" t="str">
        <f>_xlfn.XLOOKUP(Infill[[#This Row],[% Effective]],Rating[Max %],Rating[level-to-worse],,1)</f>
        <v>![level-to-worse-1](https://github.com/OrcaSlicer/OrcaSlicer_WIKI/blob/main/images/images/misc/level-to-worse-1.svg?raw=true)</v>
      </c>
      <c r="AC16">
        <f>_xlfn.XLOOKUP(Infill[[#This Row],[infill]],Tabla7[infill],Tabla7[Total Time])</f>
        <v>96.709000000000003</v>
      </c>
      <c r="AD16" s="2">
        <f>Infill[[#This Row],[Total Time]]/AVERAGEIFS(Infill[Total Time],Infill[Material Usage Icon],_xlfn.XLOOKUP("Normal",Rating[Name],Rating[level-to-worse]))</f>
        <v>0.31745836115473425</v>
      </c>
      <c r="AE16" s="2" t="str">
        <f>_xlfn.XLOOKUP(Infill[[#This Row],[t prom]],Rating[Max %],Rating[Name],,1)</f>
        <v>Extra-Low</v>
      </c>
      <c r="AF16" s="2" t="str">
        <f>_xlfn.XLOOKUP(Infill[[#This Row],[t prom]],Rating[Max %],Rating[level-to-worse],,1)</f>
        <v>![level-to-worse-1](https://github.com/OrcaSlicer/OrcaSlicer_WIKI/blob/main/images/images/misc/level-to-worse-1.svg?raw=true)</v>
      </c>
      <c r="AG16" s="3">
        <f>Infill[[#This Row],[g]]/Infill[[#This Row],[Total Time]]</f>
        <v>0.40154484070769003</v>
      </c>
      <c r="AH16" s="2">
        <f>Infill[[#This Row],[g/t]]/AVERAGEIFS(Infill[g/t],Infill[Material Usage Icon],_xlfn.XLOOKUP("Normal",Rating[Name],Rating[level-to-worse]))</f>
        <v>0.73699777350369799</v>
      </c>
      <c r="AI16" s="2" t="str">
        <f>_xlfn.XLOOKUP(Infill[[#This Row],[g/t prom]],Rating[Max %],Rating[Name],,1)</f>
        <v>Low</v>
      </c>
      <c r="AJ16" s="1" t="str">
        <f>_xlfn.XLOOKUP(Infill[[#This Row],[g/t prom]],Rating[Max %],Rating[level-to-better],,1)</f>
        <v>![level-to-better-2](https://github.com/OrcaSlicer/OrcaSlicer_WIKI/blob/main/images/images/misc/level-to-better-2.svg?raw=true)</v>
      </c>
      <c r="AK16" s="2" t="str">
        <f>SUBSTITUTE(LOWER(Infill[[#This Row],[name]])," ","-")</f>
        <v>support-cubic</v>
      </c>
      <c r="AL16" t="str">
        <f>"param_"&amp;Infill[[#This Row],[infill]]</f>
        <v>param_supportcubic</v>
      </c>
      <c r="AM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N16" s="2" t="str">
        <f>"["&amp;Infill[[#This Row],[name]]&amp;"](#"&amp;Infill[[#This Row],[nameMD]]&amp;")"</f>
        <v>[Support Cubic](#support-cubic)</v>
      </c>
      <c r="AO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![level-to-better-2](https://github.com/OrcaSlicer/OrcaSlicer_WIKI/blob/main/images/images/misc/level-to-better-2.svg?raw=true)
  - **Vertical (Z):** Low ![level-to-better-2](https://github.com/OrcaSlicer/OrcaSlicer_WIKI/blob/main/images/images/misc/level-to-better-2.svg?raw=true)
- **Density Calculation:** % of layer before top shell layers
  - **Material Usage:** Extra-Low ![level-to-worse-1](https://github.com/OrcaSlicer/OrcaSlicer_WIKI/blob/main/images/images/misc/level-to-worse-1.svg?raw=true)
  - **Print Time:** Extra-Low ![level-to-worse-1](https://github.com/OrcaSlicer/OrcaSlicer_WIKI/blob/main/images/images/misc/level-to-worse-1.svg?raw=true)
    - **Material/Time (Higher better):** Low ![level-to-better-2](https://github.com/OrcaSlicer/OrcaSlicer_WIKI/blob/main/images/images/misc/level-to-better-2.svg?raw=true)
    - **Layer time Variability:** Likely Noticeable
- **Multiline:** [Classic](strength_settings_infill#classic-strategy)
- **Applies to:**
  - **[Sparse Infill](strength_settings_infill#sparse-infill-density)**
![infill-top-support-cubic](https://github.com/OrcaSlicer/OrcaSlicer_WIKI/blob/main/images/fill/infill-top-support-cubic.png?raw=true)
</v>
      </c>
      <c r="AQ16" t="str">
        <f>IF(OR(Infill[[#This Row],[Is Infill]],Infill[[#This Row],[Is Surface]])," { """&amp;Infill[[#This Row],[infill]]&amp;""", "&amp;Infill[[#This Row],[ip]]&amp;" },","")</f>
        <v xml:space="preserve"> { "supportcubic", ipSupportCubic },</v>
      </c>
      <c r="AR16" t="str">
        <f>IF(OR(Infill[[#This Row],[Is Infill]],Infill[[#This Row],[Is Surface]]),"def-&gt;enum_values.push_back("""&amp;Infill[[#This Row],[infill]]&amp;""");","")</f>
        <v>def-&gt;enum_values.push_back("supportcubic");</v>
      </c>
      <c r="AS16" t="str">
        <f>IF(OR(Infill[[#This Row],[Is Infill]],Infill[[#This Row],[Is Surface]]),"def-&gt;enum_labels.push_back(L("""&amp;Infill[[#This Row],[name]]&amp;"""));","")</f>
        <v>def-&gt;enum_labels.push_back(L("Support Cubic"));</v>
      </c>
      <c r="AU16" t="str">
        <f>Infill[[#This Row],[SVG Link]]</f>
        <v>&lt;img alt="param_supportcubic" src="https://github.com/OrcaSlicer/OrcaSlicer/blob/main/resources/images/param_supportcubic.svg?raw=true" height="45"&gt;</v>
      </c>
      <c r="AV16" s="1" t="str">
        <f>Infill[[#This Row],[Pattern]]</f>
        <v>[Support Cubic](#support-cubic)</v>
      </c>
      <c r="AW16" s="6" t="str">
        <f>"X-Y: "&amp;Infill[[#This Row],[X-Y Strength Icon]]&amp;"
Z: "&amp;Infill[[#This Row],[Z Strength Icon]]</f>
        <v>X-Y: ![level-to-better-2](https://github.com/OrcaSlicer/OrcaSlicer_WIKI/blob/main/images/images/misc/level-to-better-2.svg?raw=true)
Z: ![level-to-better-2](https://github.com/OrcaSlicer/OrcaSlicer_WIKI/blob/main/images/images/misc/level-to-better-2.svg?raw=true)</v>
      </c>
      <c r="AX16" s="1" t="str">
        <f>Infill[[#This Row],[Material Usage Icon]]</f>
        <v>![level-to-worse-1](https://github.com/OrcaSlicer/OrcaSlicer_WIKI/blob/main/images/images/misc/level-to-worse-1.svg?raw=true)</v>
      </c>
      <c r="AY16" s="1" t="str">
        <f>Infill[[#This Row],[Print Time Icon]]</f>
        <v>![level-to-worse-1](https://github.com/OrcaSlicer/OrcaSlicer_WIKI/blob/main/images/images/misc/level-to-worse-1.svg?raw=true)</v>
      </c>
      <c r="AZ16" t="str">
        <f ca="1">Infill[[#This Row],[Layer time Variability]]</f>
        <v>Likely Noticeable</v>
      </c>
      <c r="BA16" s="1" t="str">
        <f>Infill[[#This Row],[Multiline]]</f>
        <v>[Classic](strength_settings_infill#classic-strategy)</v>
      </c>
    </row>
    <row r="17" spans="2:53" ht="270" x14ac:dyDescent="0.25">
      <c r="E17">
        <v>15</v>
      </c>
      <c r="F17" t="b">
        <v>1</v>
      </c>
      <c r="G17" t="b">
        <v>0</v>
      </c>
      <c r="H17" t="b">
        <v>0</v>
      </c>
      <c r="I17" t="s">
        <v>17</v>
      </c>
      <c r="J17" t="s">
        <v>156</v>
      </c>
      <c r="K17" t="s">
        <v>111</v>
      </c>
      <c r="L17" t="s">
        <v>136</v>
      </c>
      <c r="M17" t="s">
        <v>224</v>
      </c>
      <c r="N17" s="6" t="s">
        <v>62</v>
      </c>
      <c r="O17">
        <v>2</v>
      </c>
      <c r="P17" t="str">
        <f>_xlfn.XLOOKUP(Infill[[#This Row],[XY-N]],Rating[N],Rating[Name])</f>
        <v>Low</v>
      </c>
      <c r="Q17" t="str">
        <f>_xlfn.XLOOKUP(Infill[[#This Row],[XY-N]],Rating[N],Rating[level-to-better])</f>
        <v>![level-to-better-2](https://github.com/OrcaSlicer/OrcaSlicer_WIKI/blob/main/images/images/misc/level-to-better-2.svg?raw=true)</v>
      </c>
      <c r="R17">
        <v>2</v>
      </c>
      <c r="S17" t="str">
        <f>_xlfn.XLOOKUP(Infill[[#This Row],[Z-N]],Rating[N],Rating[Name])</f>
        <v>Low</v>
      </c>
      <c r="T17" t="str">
        <f>_xlfn.XLOOKUP(Infill[[#This Row],[Z-N]],Rating[N],Rating[level-to-better])</f>
        <v>![level-to-better-2](https://github.com/OrcaSlicer/OrcaSlicer_WIKI/blob/main/images/images/misc/level-to-better-2.svg?raw=true)</v>
      </c>
      <c r="U17" s="11">
        <f ca="1">_xlfn.XLOOKUP(Infill[[#This Row],[infill]],Tabla7[infill],Tabla7[% 2 Sigma])</f>
        <v>2.4741123157182763</v>
      </c>
      <c r="V17" t="str">
        <f ca="1">_xlfn.XLOOKUP(Infill[[#This Row],[% 2 Sigma]],AbsRating[Max %],AbsRating[Name],,1)</f>
        <v>Likely Noticeable</v>
      </c>
      <c r="W17" t="str">
        <f ca="1">_xlfn.XLOOKUP(Infill[[#This Row],[% 2 Sigma]],AbsRating[Max %],AbsRating[icon],,1)</f>
        <v>🔴</v>
      </c>
      <c r="X17" s="2" t="s">
        <v>75</v>
      </c>
      <c r="Y17">
        <f>_xlfn.XLOOKUP(Infill[[#This Row],[infill]],Tabla7[infill],Tabla7[g])</f>
        <v>17.704999999999998</v>
      </c>
      <c r="Z17" s="2">
        <f>Infill[[#This Row],[g]]/(997.25*0.15)</f>
        <v>0.1183588200885769</v>
      </c>
      <c r="AA17" s="2" t="str">
        <f>_xlfn.XLOOKUP(Infill[[#This Row],[% Effective]],Rating[Max %],Rating[Name],,1)</f>
        <v>Ultra-Low</v>
      </c>
      <c r="AB17" s="2" t="str">
        <f>_xlfn.XLOOKUP(Infill[[#This Row],[% Effective]],Rating[Max %],Rating[level-to-worse],,1)</f>
        <v>![level-to-worse-0](https://github.com/OrcaSlicer/OrcaSlicer_WIKI/blob/main/images/images/misc/level-to-worse-0.svg?raw=true)</v>
      </c>
      <c r="AC17">
        <f>_xlfn.XLOOKUP(Infill[[#This Row],[infill]],Tabla7[infill],Tabla7[Total Time])</f>
        <v>37.844999999999999</v>
      </c>
      <c r="AD17" s="2">
        <f>Infill[[#This Row],[Total Time]]/AVERAGEIFS(Infill[Total Time],Infill[Material Usage Icon],_xlfn.XLOOKUP("Normal",Rating[Name],Rating[level-to-worse]))</f>
        <v>0.1242305439814383</v>
      </c>
      <c r="AE17" s="2" t="str">
        <f>_xlfn.XLOOKUP(Infill[[#This Row],[t prom]],Rating[Max %],Rating[Name],,1)</f>
        <v>Ultra-Low</v>
      </c>
      <c r="AF17" s="2" t="str">
        <f>_xlfn.XLOOKUP(Infill[[#This Row],[t prom]],Rating[Max %],Rating[level-to-worse],,1)</f>
        <v>![level-to-worse-0](https://github.com/OrcaSlicer/OrcaSlicer_WIKI/blob/main/images/images/misc/level-to-worse-0.svg?raw=true)</v>
      </c>
      <c r="AG17" s="3">
        <f>Infill[[#This Row],[g]]/Infill[[#This Row],[Total Time]]</f>
        <v>0.46782930373893511</v>
      </c>
      <c r="AH17" s="2">
        <f>Infill[[#This Row],[g/t]]/AVERAGEIFS(Infill[g/t],Infill[Material Usage Icon],_xlfn.XLOOKUP("Normal",Rating[Name],Rating[level-to-worse]))</f>
        <v>0.85865666864930368</v>
      </c>
      <c r="AI17" s="2" t="str">
        <f>_xlfn.XLOOKUP(Infill[[#This Row],[g/t prom]],Rating[Max %],Rating[Name],,1)</f>
        <v>Normal-Low</v>
      </c>
      <c r="AJ17" s="1" t="str">
        <f>_xlfn.XLOOKUP(Infill[[#This Row],[g/t prom]],Rating[Max %],Rating[level-to-better],,1)</f>
        <v>![level-to-better-3](https://github.com/OrcaSlicer/OrcaSlicer_WIKI/blob/main/images/images/misc/level-to-better-3.svg?raw=true)</v>
      </c>
      <c r="AK17" s="2" t="str">
        <f>SUBSTITUTE(LOWER(Infill[[#This Row],[name]])," ","-")</f>
        <v>lightning</v>
      </c>
      <c r="AL17" t="str">
        <f>"param_"&amp;Infill[[#This Row],[infill]]</f>
        <v>param_lightning</v>
      </c>
      <c r="AM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N17" s="2" t="str">
        <f>"["&amp;Infill[[#This Row],[name]]&amp;"](#"&amp;Infill[[#This Row],[nameMD]]&amp;")"</f>
        <v>[Lightning](#lightning)</v>
      </c>
      <c r="AO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**Strength**
  - **Horizontal (X-Y):** Low ![level-to-better-2](https://github.com/OrcaSlicer/OrcaSlicer_WIKI/blob/main/images/images/misc/level-to-better-2.svg?raw=true)
  - **Vertical (Z):** Low ![level-to-better-2](https://github.com/OrcaSlicer/OrcaSlicer_WIKI/blob/main/images/images/misc/level-to-better-2.svg?raw=true)
- **Density Calculation:** % of layer before top shell layers
  - **Material Usage:** Ultra-Low ![level-to-worse-0](https://github.com/OrcaSlicer/OrcaSlicer_WIKI/blob/main/images/images/misc/level-to-worse-0.svg?raw=true)
  - **Print Time:** Ultra-Low ![level-to-worse-0](https://github.com/OrcaSlicer/OrcaSlicer_WIKI/blob/main/images/images/misc/level-to-worse-0.svg?raw=true)
    - **Material/Time (Higher better):** Normal-Low ![level-to-better-3](https://github.com/OrcaSlicer/OrcaSlicer_WIKI/blob/main/images/images/misc/level-to-better-3.svg?raw=true)
    - **Layer time Variability:** Likely Noticeable
- **Multiline:** [Classic](strength_settings_infill#classic-strategy)
- **Applies to:**
  - **[Sparse Infill](strength_settings_infill#sparse-infill-density)**
![infill-top-lightning](https://github.com/OrcaSlicer/OrcaSlicer_WIKI/blob/main/images/fill/infill-top-lightning.png?raw=true)
</v>
      </c>
      <c r="AQ17" t="str">
        <f>IF(OR(Infill[[#This Row],[Is Infill]],Infill[[#This Row],[Is Surface]])," { """&amp;Infill[[#This Row],[infill]]&amp;""", "&amp;Infill[[#This Row],[ip]]&amp;" },","")</f>
        <v xml:space="preserve"> { "lightning", ipLightning },</v>
      </c>
      <c r="AR17" t="str">
        <f>IF(OR(Infill[[#This Row],[Is Infill]],Infill[[#This Row],[Is Surface]]),"def-&gt;enum_values.push_back("""&amp;Infill[[#This Row],[infill]]&amp;""");","")</f>
        <v>def-&gt;enum_values.push_back("lightning");</v>
      </c>
      <c r="AS17" t="str">
        <f>IF(OR(Infill[[#This Row],[Is Infill]],Infill[[#This Row],[Is Surface]]),"def-&gt;enum_labels.push_back(L("""&amp;Infill[[#This Row],[name]]&amp;"""));","")</f>
        <v>def-&gt;enum_labels.push_back(L("Lightning"));</v>
      </c>
      <c r="AU17" t="str">
        <f>Infill[[#This Row],[SVG Link]]</f>
        <v>&lt;img alt="param_lightning" src="https://github.com/OrcaSlicer/OrcaSlicer/blob/main/resources/images/param_lightning.svg?raw=true" height="45"&gt;</v>
      </c>
      <c r="AV17" s="1" t="str">
        <f>Infill[[#This Row],[Pattern]]</f>
        <v>[Lightning](#lightning)</v>
      </c>
      <c r="AW17" s="6" t="str">
        <f>"X-Y: "&amp;Infill[[#This Row],[X-Y Strength Icon]]&amp;"
Z: "&amp;Infill[[#This Row],[Z Strength Icon]]</f>
        <v>X-Y: ![level-to-better-2](https://github.com/OrcaSlicer/OrcaSlicer_WIKI/blob/main/images/images/misc/level-to-better-2.svg?raw=true)
Z: ![level-to-better-2](https://github.com/OrcaSlicer/OrcaSlicer_WIKI/blob/main/images/images/misc/level-to-better-2.svg?raw=true)</v>
      </c>
      <c r="AX17" s="1" t="str">
        <f>Infill[[#This Row],[Material Usage Icon]]</f>
        <v>![level-to-worse-0](https://github.com/OrcaSlicer/OrcaSlicer_WIKI/blob/main/images/images/misc/level-to-worse-0.svg?raw=true)</v>
      </c>
      <c r="AY17" s="1" t="str">
        <f>Infill[[#This Row],[Print Time Icon]]</f>
        <v>![level-to-worse-0](https://github.com/OrcaSlicer/OrcaSlicer_WIKI/blob/main/images/images/misc/level-to-worse-0.svg?raw=true)</v>
      </c>
      <c r="AZ17" t="str">
        <f ca="1">Infill[[#This Row],[Layer time Variability]]</f>
        <v>Likely Noticeable</v>
      </c>
      <c r="BA17" s="1" t="str">
        <f>Infill[[#This Row],[Multiline]]</f>
        <v>[Classic](strength_settings_infill#classic-strategy)</v>
      </c>
    </row>
    <row r="18" spans="2:53" ht="270" x14ac:dyDescent="0.25">
      <c r="E18">
        <v>16</v>
      </c>
      <c r="F18" t="b">
        <v>1</v>
      </c>
      <c r="G18" t="b">
        <v>0</v>
      </c>
      <c r="H18" t="b">
        <v>0</v>
      </c>
      <c r="I18" t="s">
        <v>9</v>
      </c>
      <c r="J18" t="s">
        <v>9</v>
      </c>
      <c r="K18" t="s">
        <v>99</v>
      </c>
      <c r="L18" t="s">
        <v>128</v>
      </c>
      <c r="M18" t="s">
        <v>225</v>
      </c>
      <c r="N18" s="6" t="s">
        <v>57</v>
      </c>
      <c r="O18">
        <v>6</v>
      </c>
      <c r="P18" t="str">
        <f>_xlfn.XLOOKUP(Infill[[#This Row],[XY-N]],Rating[N],Rating[Name])</f>
        <v>High</v>
      </c>
      <c r="Q18" t="str">
        <f>_xlfn.XLOOKUP(Infill[[#This Row],[XY-N]],Rating[N],Rating[level-to-better])</f>
        <v>![level-to-better-6](https://github.com/OrcaSlicer/OrcaSlicer_WIKI/blob/main/images/images/misc/level-to-better-6.svg?raw=true)</v>
      </c>
      <c r="R18">
        <v>6</v>
      </c>
      <c r="S18" t="str">
        <f>_xlfn.XLOOKUP(Infill[[#This Row],[Z-N]],Rating[N],Rating[Name])</f>
        <v>High</v>
      </c>
      <c r="T18" t="str">
        <f>_xlfn.XLOOKUP(Infill[[#This Row],[Z-N]],Rating[N],Rating[level-to-better])</f>
        <v>![level-to-better-6](https://github.com/OrcaSlicer/OrcaSlicer_WIKI/blob/main/images/images/misc/level-to-better-6.svg?raw=true)</v>
      </c>
      <c r="U18" s="11">
        <f ca="1">_xlfn.XLOOKUP(Infill[[#This Row],[infill]],Tabla7[infill],Tabla7[% 2 Sigma])</f>
        <v>4.1996929458678611E-3</v>
      </c>
      <c r="V18" t="str">
        <f ca="1">_xlfn.XLOOKUP(Infill[[#This Row],[% 2 Sigma]],AbsRating[Max %],AbsRating[Name],,1)</f>
        <v>None</v>
      </c>
      <c r="W18" t="str">
        <f ca="1">_xlfn.XLOOKUP(Infill[[#This Row],[% 2 Sigma]],AbsRating[Max %],AbsRating[icon],,1)</f>
        <v>🟢</v>
      </c>
      <c r="X18" s="2" t="s">
        <v>73</v>
      </c>
      <c r="Y18">
        <f>_xlfn.XLOOKUP(Infill[[#This Row],[infill]],Tabla7[infill],Tabla7[g])</f>
        <v>191.24700000000001</v>
      </c>
      <c r="Z18" s="2">
        <f>Infill[[#This Row],[g]]/(997.25*0.15)</f>
        <v>1.2784958636249688</v>
      </c>
      <c r="AA18" s="2" t="str">
        <f>_xlfn.XLOOKUP(Infill[[#This Row],[% Effective]],Rating[Max %],Rating[Name],,1)</f>
        <v>High</v>
      </c>
      <c r="AB18" s="2" t="str">
        <f>_xlfn.XLOOKUP(Infill[[#This Row],[% Effective]],Rating[Max %],Rating[level-to-worse],,1)</f>
        <v>![level-to-worse-6](https://github.com/OrcaSlicer/OrcaSlicer_WIKI/blob/main/images/images/misc/level-to-worse-6.svg?raw=true)</v>
      </c>
      <c r="AC18">
        <f>_xlfn.XLOOKUP(Infill[[#This Row],[infill]],Tabla7[infill],Tabla7[Total Time])</f>
        <v>682.74400000000003</v>
      </c>
      <c r="AD18" s="2">
        <f>Infill[[#This Row],[Total Time]]/AVERAGEIFS(Infill[Total Time],Infill[Material Usage Icon],_xlfn.XLOOKUP("Normal",Rating[Name],Rating[level-to-worse]))</f>
        <v>2.2411853222371021</v>
      </c>
      <c r="AE18" s="2" t="str">
        <f>_xlfn.XLOOKUP(Infill[[#This Row],[t prom]],Rating[Max %],Rating[Name],,1)</f>
        <v>Ultra-High</v>
      </c>
      <c r="AF18" s="2" t="str">
        <f>_xlfn.XLOOKUP(Infill[[#This Row],[t prom]],Rating[Max %],Rating[level-to-worse],,1)</f>
        <v>![level-to-worse-8](https://github.com/OrcaSlicer/OrcaSlicer_WIKI/blob/main/images/images/misc/level-to-worse-8.svg?raw=true)</v>
      </c>
      <c r="AG18" s="3">
        <f>Infill[[#This Row],[g]]/Infill[[#This Row],[Total Time]]</f>
        <v>0.28011524085162226</v>
      </c>
      <c r="AH18" s="2">
        <f>Infill[[#This Row],[g/t]]/AVERAGEIFS(Infill[g/t],Infill[Material Usage Icon],_xlfn.XLOOKUP("Normal",Rating[Name],Rating[level-to-worse]))</f>
        <v>0.51412516835792599</v>
      </c>
      <c r="AI18" s="2" t="str">
        <f>_xlfn.XLOOKUP(Infill[[#This Row],[g/t prom]],Rating[Max %],Rating[Name],,1)</f>
        <v>Low</v>
      </c>
      <c r="AJ18" s="1" t="str">
        <f>_xlfn.XLOOKUP(Infill[[#This Row],[g/t prom]],Rating[Max %],Rating[level-to-better],,1)</f>
        <v>![level-to-better-2](https://github.com/OrcaSlicer/OrcaSlicer_WIKI/blob/main/images/images/misc/level-to-better-2.svg?raw=true)</v>
      </c>
      <c r="AK18" s="2" t="str">
        <f>SUBSTITUTE(LOWER(Infill[[#This Row],[name]])," ","-")</f>
        <v>honeycomb</v>
      </c>
      <c r="AL18" t="str">
        <f>"param_"&amp;Infill[[#This Row],[infill]]</f>
        <v>param_honeycomb</v>
      </c>
      <c r="AM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N18" s="2" t="str">
        <f>"["&amp;Infill[[#This Row],[name]]&amp;"](#"&amp;Infill[[#This Row],[nameMD]]&amp;")"</f>
        <v>[Honeycomb](#honeycomb)</v>
      </c>
      <c r="AO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High ![level-to-worse-6](https://github.com/OrcaSlicer/OrcaSlicer_WIKI/blob/main/images/images/misc/level-to-worse-6.svg?raw=true)
  - **Print Time:** Ultra-High ![level-to-worse-8](https://github.com/OrcaSlicer/OrcaSlicer_WIKI/blob/main/images/images/misc/level-to-worse-8.svg?raw=true)
    - **Material/Time (Higher better):** Low ![level-to-better-2](https://github.com/OrcaSlicer/OrcaSlicer_WIKI/blob/main/images/images/misc/level-to-better-2.svg?raw=true)
    - **Layer time Variability:** None
- **Multiline:** [Non-Crossing](strength_settings_infill#non-crossing-strategy)
- **Applies to:**
  - **[Sparse Infill](strength_settings_infill#sparse-infill-density)**
![infill-top-honeycomb](https://github.com/OrcaSlicer/OrcaSlicer_WIKI/blob/main/images/fill/infill-top-honeycomb.png?raw=true)
</v>
      </c>
      <c r="AQ18" t="str">
        <f>IF(OR(Infill[[#This Row],[Is Infill]],Infill[[#This Row],[Is Surface]])," { """&amp;Infill[[#This Row],[infill]]&amp;""", "&amp;Infill[[#This Row],[ip]]&amp;" },","")</f>
        <v xml:space="preserve"> { "honeycomb", ipHoneycomb },</v>
      </c>
      <c r="AR18" t="str">
        <f>IF(OR(Infill[[#This Row],[Is Infill]],Infill[[#This Row],[Is Surface]]),"def-&gt;enum_values.push_back("""&amp;Infill[[#This Row],[infill]]&amp;""");","")</f>
        <v>def-&gt;enum_values.push_back("honeycomb");</v>
      </c>
      <c r="AS18" t="str">
        <f>IF(OR(Infill[[#This Row],[Is Infill]],Infill[[#This Row],[Is Surface]]),"def-&gt;enum_labels.push_back(L("""&amp;Infill[[#This Row],[name]]&amp;"""));","")</f>
        <v>def-&gt;enum_labels.push_back(L("Honeycomb"));</v>
      </c>
      <c r="AU18" t="str">
        <f>Infill[[#This Row],[SVG Link]]</f>
        <v>&lt;img alt="param_honeycomb" src="https://github.com/OrcaSlicer/OrcaSlicer/blob/main/resources/images/param_honeycomb.svg?raw=true" height="45"&gt;</v>
      </c>
      <c r="AV18" s="1" t="str">
        <f>Infill[[#This Row],[Pattern]]</f>
        <v>[Honeycomb](#honeycomb)</v>
      </c>
      <c r="AW18"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18" s="1" t="str">
        <f>Infill[[#This Row],[Material Usage Icon]]</f>
        <v>![level-to-worse-6](https://github.com/OrcaSlicer/OrcaSlicer_WIKI/blob/main/images/images/misc/level-to-worse-6.svg?raw=true)</v>
      </c>
      <c r="AY18" s="1" t="str">
        <f>Infill[[#This Row],[Print Time Icon]]</f>
        <v>![level-to-worse-8](https://github.com/OrcaSlicer/OrcaSlicer_WIKI/blob/main/images/images/misc/level-to-worse-8.svg?raw=true)</v>
      </c>
      <c r="AZ18" t="str">
        <f ca="1">Infill[[#This Row],[Layer time Variability]]</f>
        <v>None</v>
      </c>
      <c r="BA18" s="1" t="str">
        <f>Infill[[#This Row],[Multiline]]</f>
        <v>[Non-Crossing](strength_settings_infill#non-crossing-strategy)</v>
      </c>
    </row>
    <row r="19" spans="2:53" ht="270" x14ac:dyDescent="0.25">
      <c r="E19">
        <v>17</v>
      </c>
      <c r="F19" t="b">
        <v>1</v>
      </c>
      <c r="G19" t="b">
        <v>0</v>
      </c>
      <c r="H19" t="b">
        <v>0</v>
      </c>
      <c r="I19" t="s">
        <v>12</v>
      </c>
      <c r="J19" t="s">
        <v>9</v>
      </c>
      <c r="K19" t="s">
        <v>104</v>
      </c>
      <c r="L19" t="s">
        <v>131</v>
      </c>
      <c r="M19" t="s">
        <v>224</v>
      </c>
      <c r="N19" s="6" t="s">
        <v>85</v>
      </c>
      <c r="O19">
        <v>5</v>
      </c>
      <c r="P19" t="str">
        <f>_xlfn.XLOOKUP(Infill[[#This Row],[XY-N]],Rating[N],Rating[Name])</f>
        <v>Normal-High</v>
      </c>
      <c r="Q19" t="str">
        <f>_xlfn.XLOOKUP(Infill[[#This Row],[XY-N]],Rating[N],Rating[level-to-better])</f>
        <v>![level-to-better-5](https://github.com/OrcaSlicer/OrcaSlicer_WIKI/blob/main/images/images/misc/level-to-better-5.svg?raw=true)</v>
      </c>
      <c r="R19">
        <v>5</v>
      </c>
      <c r="S19" t="str">
        <f>_xlfn.XLOOKUP(Infill[[#This Row],[Z-N]],Rating[N],Rating[Name])</f>
        <v>Normal-High</v>
      </c>
      <c r="T19" t="str">
        <f>_xlfn.XLOOKUP(Infill[[#This Row],[Z-N]],Rating[N],Rating[level-to-better])</f>
        <v>![level-to-better-5](https://github.com/OrcaSlicer/OrcaSlicer_WIKI/blob/main/images/images/misc/level-to-better-5.svg?raw=true)</v>
      </c>
      <c r="U19" s="11">
        <f ca="1">_xlfn.XLOOKUP(Infill[[#This Row],[infill]],Tabla7[infill],Tabla7[% 2 Sigma])</f>
        <v>0.42107547246088983</v>
      </c>
      <c r="V19" t="str">
        <f ca="1">_xlfn.XLOOKUP(Infill[[#This Row],[% 2 Sigma]],AbsRating[Max %],AbsRating[Name],,1)</f>
        <v>Possibly Noticeable</v>
      </c>
      <c r="W19" t="str">
        <f ca="1">_xlfn.XLOOKUP(Infill[[#This Row],[% 2 Sigma]],AbsRating[Max %],AbsRating[icon],,1)</f>
        <v>🟡</v>
      </c>
      <c r="X19" s="2" t="s">
        <v>50</v>
      </c>
      <c r="Y19">
        <f>_xlfn.XLOOKUP(Infill[[#This Row],[infill]],Tabla7[infill],Tabla7[g])</f>
        <v>124.437</v>
      </c>
      <c r="Z19" s="2">
        <f>Infill[[#This Row],[g]]/(997.25*0.15)</f>
        <v>0.83186763599899716</v>
      </c>
      <c r="AA19" s="2" t="str">
        <f>_xlfn.XLOOKUP(Infill[[#This Row],[% Effective]],Rating[Max %],Rating[Name],,1)</f>
        <v>Normal-Low</v>
      </c>
      <c r="AB19" s="2" t="str">
        <f>_xlfn.XLOOKUP(Infill[[#This Row],[% Effective]],Rating[Max %],Rating[level-to-worse],,1)</f>
        <v>![level-to-worse-3](https://github.com/OrcaSlicer/OrcaSlicer_WIKI/blob/main/images/images/misc/level-to-worse-3.svg?raw=true)</v>
      </c>
      <c r="AC19">
        <f>_xlfn.XLOOKUP(Infill[[#This Row],[infill]],Tabla7[infill],Tabla7[Total Time])</f>
        <v>490.12200000000001</v>
      </c>
      <c r="AD19" s="2">
        <f>Infill[[#This Row],[Total Time]]/AVERAGEIFS(Infill[Total Time],Infill[Material Usage Icon],_xlfn.XLOOKUP("Normal",Rating[Name],Rating[level-to-worse]))</f>
        <v>1.6088815610323823</v>
      </c>
      <c r="AE19" s="2" t="str">
        <f>_xlfn.XLOOKUP(Infill[[#This Row],[t prom]],Rating[Max %],Rating[Name],,1)</f>
        <v>Extra-High</v>
      </c>
      <c r="AF19" s="2" t="str">
        <f>_xlfn.XLOOKUP(Infill[[#This Row],[t prom]],Rating[Max %],Rating[level-to-worse],,1)</f>
        <v>![level-to-worse-7](https://github.com/OrcaSlicer/OrcaSlicer_WIKI/blob/main/images/images/misc/level-to-worse-7.svg?raw=true)</v>
      </c>
      <c r="AG19" s="3">
        <f>Infill[[#This Row],[g]]/Infill[[#This Row],[Total Time]]</f>
        <v>0.25388984783380464</v>
      </c>
      <c r="AH19" s="2">
        <f>Infill[[#This Row],[g/t]]/AVERAGEIFS(Infill[g/t],Infill[Material Usage Icon],_xlfn.XLOOKUP("Normal",Rating[Name],Rating[level-to-worse]))</f>
        <v>0.46599092703801037</v>
      </c>
      <c r="AI19" s="2" t="str">
        <f>_xlfn.XLOOKUP(Infill[[#This Row],[g/t prom]],Rating[Max %],Rating[Name],,1)</f>
        <v>Low</v>
      </c>
      <c r="AJ19" s="1" t="str">
        <f>_xlfn.XLOOKUP(Infill[[#This Row],[g/t prom]],Rating[Max %],Rating[level-to-better],,1)</f>
        <v>![level-to-better-2](https://github.com/OrcaSlicer/OrcaSlicer_WIKI/blob/main/images/images/misc/level-to-better-2.svg?raw=true)</v>
      </c>
      <c r="AK19" s="2" t="str">
        <f>SUBSTITUTE(LOWER(Infill[[#This Row],[name]])," ","-")</f>
        <v>3d-honeycomb</v>
      </c>
      <c r="AL19" t="str">
        <f>"param_"&amp;Infill[[#This Row],[infill]]</f>
        <v>param_3dhoneycomb</v>
      </c>
      <c r="AM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N19" s="2" t="str">
        <f>"["&amp;Infill[[#This Row],[name]]&amp;"](#"&amp;Infill[[#This Row],[nameMD]]&amp;")"</f>
        <v>[3D Honeycomb](#3d-honeycomb)</v>
      </c>
      <c r="AO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**Strength**
  - **Horizontal (X-Y):** Normal-High ![level-to-better-5](https://github.com/OrcaSlicer/OrcaSlicer_WIKI/blob/main/images/images/misc/level-to-better-5.svg?raw=true)
  - **Vertical (Z):** Normal-High ![level-to-better-5](https://github.com/OrcaSlicer/OrcaSlicer_WIKI/blob/main/images/images/misc/level-to-better-5.svg?raw=true)
- **Density Calculation:** Unknown
  - **Material Usage:** Normal-Low ![level-to-worse-3](https://github.com/OrcaSlicer/OrcaSlicer_WIKI/blob/main/images/images/misc/level-to-worse-3.svg?raw=true)
  - **Print Time:** Extra-High ![level-to-worse-7](https://github.com/OrcaSlicer/OrcaSlicer_WIKI/blob/main/images/images/misc/level-to-worse-7.svg?raw=true)
    - **Material/Time (Higher better):** Low ![level-to-better-2](https://github.com/OrcaSlicer/OrcaSlicer_WIKI/blob/main/images/images/misc/level-to-better-2.svg?raw=true)
    - **Layer time Variability:** Possibly Noticeable
- **Multiline:** [Classic](strength_settings_infill#classic-strategy)
- **Applies to:**
  - **[Sparse Infill](strength_settings_infill#sparse-infill-density)**
![infill-top-3d-honeycomb](https://github.com/OrcaSlicer/OrcaSlicer_WIKI/blob/main/images/fill/infill-top-3d-honeycomb.png?raw=true)
</v>
      </c>
      <c r="AQ19" t="str">
        <f>IF(OR(Infill[[#This Row],[Is Infill]],Infill[[#This Row],[Is Surface]])," { """&amp;Infill[[#This Row],[infill]]&amp;""", "&amp;Infill[[#This Row],[ip]]&amp;" },","")</f>
        <v xml:space="preserve"> { "3dhoneycomb", ip3DHoneycomb },</v>
      </c>
      <c r="AR19" t="str">
        <f>IF(OR(Infill[[#This Row],[Is Infill]],Infill[[#This Row],[Is Surface]]),"def-&gt;enum_values.push_back("""&amp;Infill[[#This Row],[infill]]&amp;""");","")</f>
        <v>def-&gt;enum_values.push_back("3dhoneycomb");</v>
      </c>
      <c r="AS19" t="str">
        <f>IF(OR(Infill[[#This Row],[Is Infill]],Infill[[#This Row],[Is Surface]]),"def-&gt;enum_labels.push_back(L("""&amp;Infill[[#This Row],[name]]&amp;"""));","")</f>
        <v>def-&gt;enum_labels.push_back(L("3D Honeycomb"));</v>
      </c>
      <c r="AU19" t="str">
        <f>Infill[[#This Row],[SVG Link]]</f>
        <v>&lt;img alt="param_3dhoneycomb" src="https://github.com/OrcaSlicer/OrcaSlicer/blob/main/resources/images/param_3dhoneycomb.svg?raw=true" height="45"&gt;</v>
      </c>
      <c r="AV19" s="1" t="str">
        <f>Infill[[#This Row],[Pattern]]</f>
        <v>[3D Honeycomb](#3d-honeycomb)</v>
      </c>
      <c r="AW19" s="6" t="str">
        <f>"X-Y: "&amp;Infill[[#This Row],[X-Y Strength Icon]]&amp;"
Z: "&amp;Infill[[#This Row],[Z Strength Icon]]</f>
        <v>X-Y: ![level-to-better-5](https://github.com/OrcaSlicer/OrcaSlicer_WIKI/blob/main/images/images/misc/level-to-better-5.svg?raw=true)
Z: ![level-to-better-5](https://github.com/OrcaSlicer/OrcaSlicer_WIKI/blob/main/images/images/misc/level-to-better-5.svg?raw=true)</v>
      </c>
      <c r="AX19" s="1" t="str">
        <f>Infill[[#This Row],[Material Usage Icon]]</f>
        <v>![level-to-worse-3](https://github.com/OrcaSlicer/OrcaSlicer_WIKI/blob/main/images/images/misc/level-to-worse-3.svg?raw=true)</v>
      </c>
      <c r="AY19" s="1" t="str">
        <f>Infill[[#This Row],[Print Time Icon]]</f>
        <v>![level-to-worse-7](https://github.com/OrcaSlicer/OrcaSlicer_WIKI/blob/main/images/images/misc/level-to-worse-7.svg?raw=true)</v>
      </c>
      <c r="AZ19" t="str">
        <f ca="1">Infill[[#This Row],[Layer time Variability]]</f>
        <v>Possibly Noticeable</v>
      </c>
      <c r="BA19" s="1" t="str">
        <f>Infill[[#This Row],[Multiline]]</f>
        <v>[Classic](strength_settings_infill#classic-strategy)</v>
      </c>
    </row>
    <row r="20" spans="2:53" ht="285" x14ac:dyDescent="0.25">
      <c r="E20">
        <v>18</v>
      </c>
      <c r="F20" t="b">
        <v>1</v>
      </c>
      <c r="G20" t="b">
        <v>0</v>
      </c>
      <c r="H20" t="b">
        <v>0</v>
      </c>
      <c r="I20" t="s">
        <v>177</v>
      </c>
      <c r="J20" t="s">
        <v>9</v>
      </c>
      <c r="K20" t="s">
        <v>176</v>
      </c>
      <c r="L20" t="s">
        <v>180</v>
      </c>
      <c r="M20" t="s">
        <v>224</v>
      </c>
      <c r="N20" s="8" t="s">
        <v>182</v>
      </c>
      <c r="O20">
        <v>3</v>
      </c>
      <c r="P20" t="str">
        <f>_xlfn.XLOOKUP(Infill[[#This Row],[XY-N]],Rating[N],Rating[Name])</f>
        <v>Normal-Low</v>
      </c>
      <c r="Q20" t="str">
        <f>_xlfn.XLOOKUP(Infill[[#This Row],[XY-N]],Rating[N],Rating[level-to-better])</f>
        <v>![level-to-better-3](https://github.com/OrcaSlicer/OrcaSlicer_WIKI/blob/main/images/images/misc/level-to-better-3.svg?raw=true)</v>
      </c>
      <c r="R20">
        <v>3</v>
      </c>
      <c r="S20" t="str">
        <f>_xlfn.XLOOKUP(Infill[[#This Row],[Z-N]],Rating[N],Rating[Name])</f>
        <v>Normal-Low</v>
      </c>
      <c r="T20" t="str">
        <f>_xlfn.XLOOKUP(Infill[[#This Row],[Z-N]],Rating[N],Rating[level-to-better])</f>
        <v>![level-to-better-3](https://github.com/OrcaSlicer/OrcaSlicer_WIKI/blob/main/images/images/misc/level-to-better-3.svg?raw=true)</v>
      </c>
      <c r="U20" s="11">
        <f ca="1">_xlfn.XLOOKUP(Infill[[#This Row],[infill]],Tabla7[infill],Tabla7[% 2 Sigma])</f>
        <v>0.66989273589465026</v>
      </c>
      <c r="V20" t="str">
        <f ca="1">_xlfn.XLOOKUP(Infill[[#This Row],[% 2 Sigma]],AbsRating[Max %],AbsRating[Name],,1)</f>
        <v>Possibly Noticeable</v>
      </c>
      <c r="W20" t="str">
        <f ca="1">_xlfn.XLOOKUP(Infill[[#This Row],[% 2 Sigma]],AbsRating[Max %],AbsRating[icon],,1)</f>
        <v>🟡</v>
      </c>
      <c r="X20" s="2" t="s">
        <v>73</v>
      </c>
      <c r="Y20">
        <f>_xlfn.XLOOKUP(Infill[[#This Row],[infill]],Tabla7[infill],Tabla7[g])</f>
        <v>149.51300000000001</v>
      </c>
      <c r="Z20" s="2">
        <f>Infill[[#This Row],[g]]/(997.25*0.15)</f>
        <v>0.99950196373360078</v>
      </c>
      <c r="AA20" s="2" t="str">
        <f>_xlfn.XLOOKUP(Infill[[#This Row],[% Effective]],Rating[Max %],Rating[Name],,1)</f>
        <v>Normal</v>
      </c>
      <c r="AB20" s="2" t="str">
        <f>_xlfn.XLOOKUP(Infill[[#This Row],[% Effective]],Rating[Max %],Rating[level-to-worse],,1)</f>
        <v>![level-to-worse-4](https://github.com/OrcaSlicer/OrcaSlicer_WIKI/blob/main/images/images/misc/level-to-worse-4.svg?raw=true)</v>
      </c>
      <c r="AC20">
        <f>_xlfn.XLOOKUP(Infill[[#This Row],[infill]],Tabla7[infill],Tabla7[Total Time])</f>
        <v>242.97499999999999</v>
      </c>
      <c r="AD20" s="2">
        <f>Infill[[#This Row],[Total Time]]/AVERAGEIFS(Infill[Total Time],Infill[Material Usage Icon],_xlfn.XLOOKUP("Normal",Rating[Name],Rating[level-to-worse]))</f>
        <v>0.79759324676681131</v>
      </c>
      <c r="AE20" s="2" t="str">
        <f>_xlfn.XLOOKUP(Infill[[#This Row],[t prom]],Rating[Max %],Rating[Name],,1)</f>
        <v>Normal-Low</v>
      </c>
      <c r="AF20" s="2" t="str">
        <f>_xlfn.XLOOKUP(Infill[[#This Row],[t prom]],Rating[Max %],Rating[level-to-worse],,1)</f>
        <v>![level-to-worse-3](https://github.com/OrcaSlicer/OrcaSlicer_WIKI/blob/main/images/images/misc/level-to-worse-3.svg?raw=true)</v>
      </c>
      <c r="AG20" s="3">
        <f>Infill[[#This Row],[g]]/Infill[[#This Row],[Total Time]]</f>
        <v>0.61534314229859044</v>
      </c>
      <c r="AH20" s="2">
        <f>Infill[[#This Row],[g/t]]/AVERAGEIFS(Infill[g/t],Infill[Material Usage Icon],_xlfn.XLOOKUP("Normal",Rating[Name],Rating[level-to-worse]))</f>
        <v>1.1294044396525231</v>
      </c>
      <c r="AI20" s="2" t="str">
        <f>_xlfn.XLOOKUP(Infill[[#This Row],[g/t prom]],Rating[Max %],Rating[Name],,1)</f>
        <v>Normal-High</v>
      </c>
      <c r="AJ20" s="1" t="str">
        <f>_xlfn.XLOOKUP(Infill[[#This Row],[g/t prom]],Rating[Max %],Rating[level-to-better],,1)</f>
        <v>![level-to-better-5](https://github.com/OrcaSlicer/OrcaSlicer_WIKI/blob/main/images/images/misc/level-to-better-5.svg?raw=true)</v>
      </c>
      <c r="AK20" s="2" t="str">
        <f>SUBSTITUTE(LOWER(Infill[[#This Row],[name]])," ","-")</f>
        <v>lateral-honeycomb</v>
      </c>
      <c r="AL20" t="str">
        <f>"param_"&amp;Infill[[#This Row],[infill]]</f>
        <v>param_lateral-honeycomb</v>
      </c>
      <c r="AM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N20" s="2" t="str">
        <f>"["&amp;Infill[[#This Row],[name]]&amp;"](#"&amp;Infill[[#This Row],[nameMD]]&amp;")"</f>
        <v>[Lateral Honeycomb](#lateral-honeycomb)</v>
      </c>
      <c r="AO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![level-to-better-3](https://github.com/OrcaSlicer/OrcaSlicer_WIKI/blob/main/images/images/misc/level-to-better-3.svg?raw=true)
  - **Vertical (Z):** Normal-Low ![level-to-better-3](https://github.com/OrcaSlicer/OrcaSlicer_WIKI/blob/main/images/images/misc/level-to-better-3.svg?raw=true)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Possibly Noticeable
- **Multiline:** [Classic](strength_settings_infill#classic-strategy)
- **Applies to:**
  - **[Sparse Infill](strength_settings_infill#sparse-infill-density)**
![infill-top-lateral-honeycomb](https://github.com/OrcaSlicer/OrcaSlicer_WIKI/blob/main/images/fill/infill-top-lateral-honeycomb.png?raw=true)
</v>
      </c>
      <c r="AQ20" t="str">
        <f>IF(OR(Infill[[#This Row],[Is Infill]],Infill[[#This Row],[Is Surface]])," { """&amp;Infill[[#This Row],[infill]]&amp;""", "&amp;Infill[[#This Row],[ip]]&amp;" },","")</f>
        <v xml:space="preserve"> { "lateral-honeycomb", ipLateralHoneycomb },</v>
      </c>
      <c r="AR20" t="str">
        <f>IF(OR(Infill[[#This Row],[Is Infill]],Infill[[#This Row],[Is Surface]]),"def-&gt;enum_values.push_back("""&amp;Infill[[#This Row],[infill]]&amp;""");","")</f>
        <v>def-&gt;enum_values.push_back("lateral-honeycomb");</v>
      </c>
      <c r="AS20" t="str">
        <f>IF(OR(Infill[[#This Row],[Is Infill]],Infill[[#This Row],[Is Surface]]),"def-&gt;enum_labels.push_back(L("""&amp;Infill[[#This Row],[name]]&amp;"""));","")</f>
        <v>def-&gt;enum_labels.push_back(L("Lateral Honeycomb"));</v>
      </c>
      <c r="AU20" t="str">
        <f>Infill[[#This Row],[SVG Link]]</f>
        <v>&lt;img alt="param_lateral-honeycomb" src="https://github.com/OrcaSlicer/OrcaSlicer/blob/main/resources/images/param_lateral-honeycomb.svg?raw=true" height="45"&gt;</v>
      </c>
      <c r="AV20" s="1" t="str">
        <f>Infill[[#This Row],[Pattern]]</f>
        <v>[Lateral Honeycomb](#lateral-honeycomb)</v>
      </c>
      <c r="AW20" s="6" t="str">
        <f>"X-Y: "&amp;Infill[[#This Row],[X-Y Strength Icon]]&amp;"
Z: "&amp;Infill[[#This Row],[Z Strength Icon]]</f>
        <v>X-Y: ![level-to-better-3](https://github.com/OrcaSlicer/OrcaSlicer_WIKI/blob/main/images/images/misc/level-to-better-3.svg?raw=true)
Z: ![level-to-better-3](https://github.com/OrcaSlicer/OrcaSlicer_WIKI/blob/main/images/images/misc/level-to-better-3.svg?raw=true)</v>
      </c>
      <c r="AX20" s="1" t="str">
        <f>Infill[[#This Row],[Material Usage Icon]]</f>
        <v>![level-to-worse-4](https://github.com/OrcaSlicer/OrcaSlicer_WIKI/blob/main/images/images/misc/level-to-worse-4.svg?raw=true)</v>
      </c>
      <c r="AY20" s="1" t="str">
        <f>Infill[[#This Row],[Print Time Icon]]</f>
        <v>![level-to-worse-3](https://github.com/OrcaSlicer/OrcaSlicer_WIKI/blob/main/images/images/misc/level-to-worse-3.svg?raw=true)</v>
      </c>
      <c r="AZ20" t="str">
        <f ca="1">Infill[[#This Row],[Layer time Variability]]</f>
        <v>Possibly Noticeable</v>
      </c>
      <c r="BA20" s="1" t="str">
        <f>Infill[[#This Row],[Multiline]]</f>
        <v>[Classic](strength_settings_infill#classic-strategy)</v>
      </c>
    </row>
    <row r="21" spans="2:53" ht="270" x14ac:dyDescent="0.25">
      <c r="E21">
        <v>19</v>
      </c>
      <c r="F21" t="b">
        <v>1</v>
      </c>
      <c r="G21" t="b">
        <v>0</v>
      </c>
      <c r="H21" t="b">
        <v>0</v>
      </c>
      <c r="I21" t="s">
        <v>178</v>
      </c>
      <c r="J21" t="s">
        <v>179</v>
      </c>
      <c r="K21" t="s">
        <v>175</v>
      </c>
      <c r="L21" t="s">
        <v>181</v>
      </c>
      <c r="M21" t="s">
        <v>224</v>
      </c>
      <c r="N21" s="6" t="s">
        <v>83</v>
      </c>
      <c r="O21">
        <v>3</v>
      </c>
      <c r="P21" t="str">
        <f>_xlfn.XLOOKUP(Infill[[#This Row],[XY-N]],Rating[N],Rating[Name])</f>
        <v>Normal-Low</v>
      </c>
      <c r="Q21" t="str">
        <f>_xlfn.XLOOKUP(Infill[[#This Row],[XY-N]],Rating[N],Rating[level-to-better])</f>
        <v>![level-to-better-3](https://github.com/OrcaSlicer/OrcaSlicer_WIKI/blob/main/images/images/misc/level-to-better-3.svg?raw=true)</v>
      </c>
      <c r="R21">
        <v>2</v>
      </c>
      <c r="S21" t="str">
        <f>_xlfn.XLOOKUP(Infill[[#This Row],[Z-N]],Rating[N],Rating[Name])</f>
        <v>Low</v>
      </c>
      <c r="T21" t="str">
        <f>_xlfn.XLOOKUP(Infill[[#This Row],[Z-N]],Rating[N],Rating[level-to-better])</f>
        <v>![level-to-better-2](https://github.com/OrcaSlicer/OrcaSlicer_WIKI/blob/main/images/images/misc/level-to-better-2.svg?raw=true)</v>
      </c>
      <c r="U21" s="11">
        <f ca="1">_xlfn.XLOOKUP(Infill[[#This Row],[infill]],Tabla7[infill],Tabla7[% 2 Sigma])</f>
        <v>1.7314387083203098E-2</v>
      </c>
      <c r="V21" t="str">
        <f ca="1">_xlfn.XLOOKUP(Infill[[#This Row],[% 2 Sigma]],AbsRating[Max %],AbsRating[Name],,1)</f>
        <v>Unnoticeable</v>
      </c>
      <c r="W21" t="str">
        <f ca="1">_xlfn.XLOOKUP(Infill[[#This Row],[% 2 Sigma]],AbsRating[Max %],AbsRating[icon],,1)</f>
        <v>🔵</v>
      </c>
      <c r="X21" s="2" t="s">
        <v>73</v>
      </c>
      <c r="Y21">
        <f>_xlfn.XLOOKUP(Infill[[#This Row],[infill]],Tabla7[infill],Tabla7[g])</f>
        <v>149.00700000000001</v>
      </c>
      <c r="Z21" s="2">
        <f>Infill[[#This Row],[g]]/(997.25*0.15)</f>
        <v>0.9961193281524191</v>
      </c>
      <c r="AA21" s="2" t="str">
        <f>_xlfn.XLOOKUP(Infill[[#This Row],[% Effective]],Rating[Max %],Rating[Name],,1)</f>
        <v>Normal</v>
      </c>
      <c r="AB21" s="2" t="str">
        <f>_xlfn.XLOOKUP(Infill[[#This Row],[% Effective]],Rating[Max %],Rating[level-to-worse],,1)</f>
        <v>![level-to-worse-4](https://github.com/OrcaSlicer/OrcaSlicer_WIKI/blob/main/images/images/misc/level-to-worse-4.svg?raw=true)</v>
      </c>
      <c r="AC21">
        <f>_xlfn.XLOOKUP(Infill[[#This Row],[infill]],Tabla7[infill],Tabla7[Total Time])</f>
        <v>242.48599999999999</v>
      </c>
      <c r="AD21" s="2">
        <f>Infill[[#This Row],[Total Time]]/AVERAGEIFS(Infill[Total Time],Infill[Material Usage Icon],_xlfn.XLOOKUP("Normal",Rating[Name],Rating[level-to-worse]))</f>
        <v>0.79598804829919534</v>
      </c>
      <c r="AE21" s="2" t="str">
        <f>_xlfn.XLOOKUP(Infill[[#This Row],[t prom]],Rating[Max %],Rating[Name],,1)</f>
        <v>Normal-Low</v>
      </c>
      <c r="AF21" s="2" t="str">
        <f>_xlfn.XLOOKUP(Infill[[#This Row],[t prom]],Rating[Max %],Rating[level-to-worse],,1)</f>
        <v>![level-to-worse-3](https://github.com/OrcaSlicer/OrcaSlicer_WIKI/blob/main/images/images/misc/level-to-worse-3.svg?raw=true)</v>
      </c>
      <c r="AG21" s="3">
        <f>Infill[[#This Row],[g]]/Infill[[#This Row],[Total Time]]</f>
        <v>0.61449733180472277</v>
      </c>
      <c r="AH21" s="2">
        <f>Infill[[#This Row],[g/t]]/AVERAGEIFS(Infill[g/t],Infill[Material Usage Icon],_xlfn.XLOOKUP("Normal",Rating[Name],Rating[level-to-worse]))</f>
        <v>1.1278520340738887</v>
      </c>
      <c r="AI21" s="2" t="str">
        <f>_xlfn.XLOOKUP(Infill[[#This Row],[g/t prom]],Rating[Max %],Rating[Name],,1)</f>
        <v>Normal-High</v>
      </c>
      <c r="AJ21" s="1" t="str">
        <f>_xlfn.XLOOKUP(Infill[[#This Row],[g/t prom]],Rating[Max %],Rating[level-to-better],,1)</f>
        <v>![level-to-better-5](https://github.com/OrcaSlicer/OrcaSlicer_WIKI/blob/main/images/images/misc/level-to-better-5.svg?raw=true)</v>
      </c>
      <c r="AK21" s="2" t="str">
        <f>SUBSTITUTE(LOWER(Infill[[#This Row],[name]])," ","-")</f>
        <v>lateral-lattice</v>
      </c>
      <c r="AL21" t="str">
        <f>"param_"&amp;Infill[[#This Row],[infill]]</f>
        <v>param_lateral-lattice</v>
      </c>
      <c r="AM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N21" s="2" t="str">
        <f>"["&amp;Infill[[#This Row],[name]]&amp;"](#"&amp;Infill[[#This Row],[nameMD]]&amp;")"</f>
        <v>[Lateral Lattice](#lateral-lattice)</v>
      </c>
      <c r="AO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![level-to-better-3](https://github.com/OrcaSlicer/OrcaSlicer_WIKI/blob/main/images/images/misc/level-to-better-3.svg?raw=true)
  - **Vertical (Z):** Low ![level-to-better-2](https://github.com/OrcaSlicer/OrcaSlicer_WIKI/blob/main/images/images/misc/level-to-better-2.svg?raw=true)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Unnoticeable
- **Multiline:** [Classic](strength_settings_infill#classic-strategy)
- **Applies to:**
  - **[Sparse Infill](strength_settings_infill#sparse-infill-density)**
![infill-top-lateral-lattice](https://github.com/OrcaSlicer/OrcaSlicer_WIKI/blob/main/images/fill/infill-top-lateral-lattice.png?raw=true)
</v>
      </c>
      <c r="AQ21" t="str">
        <f>IF(OR(Infill[[#This Row],[Is Infill]],Infill[[#This Row],[Is Surface]])," { """&amp;Infill[[#This Row],[infill]]&amp;""", "&amp;Infill[[#This Row],[ip]]&amp;" },","")</f>
        <v xml:space="preserve"> { "lateral-lattice", ipLateralLattice },</v>
      </c>
      <c r="AR21" t="str">
        <f>IF(OR(Infill[[#This Row],[Is Infill]],Infill[[#This Row],[Is Surface]]),"def-&gt;enum_values.push_back("""&amp;Infill[[#This Row],[infill]]&amp;""");","")</f>
        <v>def-&gt;enum_values.push_back("lateral-lattice");</v>
      </c>
      <c r="AS21" t="str">
        <f>IF(OR(Infill[[#This Row],[Is Infill]],Infill[[#This Row],[Is Surface]]),"def-&gt;enum_labels.push_back(L("""&amp;Infill[[#This Row],[name]]&amp;"""));","")</f>
        <v>def-&gt;enum_labels.push_back(L("Lateral Lattice"));</v>
      </c>
      <c r="AU21" t="str">
        <f>Infill[[#This Row],[SVG Link]]</f>
        <v>&lt;img alt="param_lateral-lattice" src="https://github.com/OrcaSlicer/OrcaSlicer/blob/main/resources/images/param_lateral-lattice.svg?raw=true" height="45"&gt;</v>
      </c>
      <c r="AV21" s="1" t="str">
        <f>Infill[[#This Row],[Pattern]]</f>
        <v>[Lateral Lattice](#lateral-lattice)</v>
      </c>
      <c r="AW21" s="6" t="str">
        <f>"X-Y: "&amp;Infill[[#This Row],[X-Y Strength Icon]]&amp;"
Z: "&amp;Infill[[#This Row],[Z Strength Icon]]</f>
        <v>X-Y: ![level-to-better-3](https://github.com/OrcaSlicer/OrcaSlicer_WIKI/blob/main/images/images/misc/level-to-better-3.svg?raw=true)
Z: ![level-to-better-2](https://github.com/OrcaSlicer/OrcaSlicer_WIKI/blob/main/images/images/misc/level-to-better-2.svg?raw=true)</v>
      </c>
      <c r="AX21" s="1" t="str">
        <f>Infill[[#This Row],[Material Usage Icon]]</f>
        <v>![level-to-worse-4](https://github.com/OrcaSlicer/OrcaSlicer_WIKI/blob/main/images/images/misc/level-to-worse-4.svg?raw=true)</v>
      </c>
      <c r="AY21" s="1" t="str">
        <f>Infill[[#This Row],[Print Time Icon]]</f>
        <v>![level-to-worse-3](https://github.com/OrcaSlicer/OrcaSlicer_WIKI/blob/main/images/images/misc/level-to-worse-3.svg?raw=true)</v>
      </c>
      <c r="AZ21" t="str">
        <f ca="1">Infill[[#This Row],[Layer time Variability]]</f>
        <v>Unnoticeable</v>
      </c>
      <c r="BA21" s="1" t="str">
        <f>Infill[[#This Row],[Multiline]]</f>
        <v>[Classic](strength_settings_infill#classic-strategy)</v>
      </c>
    </row>
    <row r="22" spans="2:53" ht="285" x14ac:dyDescent="0.25">
      <c r="E22">
        <v>20</v>
      </c>
      <c r="F22" t="b">
        <v>1</v>
      </c>
      <c r="G22" t="b">
        <v>0</v>
      </c>
      <c r="H22" t="b">
        <v>0</v>
      </c>
      <c r="I22" t="s">
        <v>18</v>
      </c>
      <c r="J22" t="s">
        <v>155</v>
      </c>
      <c r="K22" t="s">
        <v>112</v>
      </c>
      <c r="L22" t="s">
        <v>137</v>
      </c>
      <c r="M22" t="s">
        <v>224</v>
      </c>
      <c r="N22" s="6" t="s">
        <v>86</v>
      </c>
      <c r="O22">
        <v>5</v>
      </c>
      <c r="P22" t="str">
        <f>_xlfn.XLOOKUP(Infill[[#This Row],[XY-N]],Rating[N],Rating[Name])</f>
        <v>Normal-High</v>
      </c>
      <c r="Q22" t="str">
        <f>_xlfn.XLOOKUP(Infill[[#This Row],[XY-N]],Rating[N],Rating[level-to-better])</f>
        <v>![level-to-better-5](https://github.com/OrcaSlicer/OrcaSlicer_WIKI/blob/main/images/images/misc/level-to-better-5.svg?raw=true)</v>
      </c>
      <c r="R22">
        <v>5</v>
      </c>
      <c r="S22" t="str">
        <f>_xlfn.XLOOKUP(Infill[[#This Row],[Z-N]],Rating[N],Rating[Name])</f>
        <v>Normal-High</v>
      </c>
      <c r="T22" t="str">
        <f>_xlfn.XLOOKUP(Infill[[#This Row],[Z-N]],Rating[N],Rating[level-to-better])</f>
        <v>![level-to-better-5](https://github.com/OrcaSlicer/OrcaSlicer_WIKI/blob/main/images/images/misc/level-to-better-5.svg?raw=true)</v>
      </c>
      <c r="U22" s="11">
        <f ca="1">_xlfn.XLOOKUP(Infill[[#This Row],[infill]],Tabla7[infill],Tabla7[% 2 Sigma])</f>
        <v>1.083366881386107</v>
      </c>
      <c r="V22" t="str">
        <f ca="1">_xlfn.XLOOKUP(Infill[[#This Row],[% 2 Sigma]],AbsRating[Max %],AbsRating[Name],,1)</f>
        <v>Likely Noticeable</v>
      </c>
      <c r="W22" t="str">
        <f ca="1">_xlfn.XLOOKUP(Infill[[#This Row],[% 2 Sigma]],AbsRating[Max %],AbsRating[icon],,1)</f>
        <v>🔴</v>
      </c>
      <c r="X22" s="2" t="s">
        <v>73</v>
      </c>
      <c r="Y22">
        <f>_xlfn.XLOOKUP(Infill[[#This Row],[infill]],Tabla7[infill],Tabla7[g])</f>
        <v>144.98400000000001</v>
      </c>
      <c r="Z22" s="2">
        <f>Infill[[#This Row],[g]]/(997.25*0.15)</f>
        <v>0.96922536976685891</v>
      </c>
      <c r="AA22" s="2" t="str">
        <f>_xlfn.XLOOKUP(Infill[[#This Row],[% Effective]],Rating[Max %],Rating[Name],,1)</f>
        <v>Normal</v>
      </c>
      <c r="AB22" s="2" t="str">
        <f>_xlfn.XLOOKUP(Infill[[#This Row],[% Effective]],Rating[Max %],Rating[level-to-worse],,1)</f>
        <v>![level-to-worse-4](https://github.com/OrcaSlicer/OrcaSlicer_WIKI/blob/main/images/images/misc/level-to-worse-4.svg?raw=true)</v>
      </c>
      <c r="AC22">
        <f>_xlfn.XLOOKUP(Infill[[#This Row],[infill]],Tabla7[infill],Tabla7[Total Time])</f>
        <v>400.47699999999998</v>
      </c>
      <c r="AD22" s="2">
        <f>Infill[[#This Row],[Total Time]]/AVERAGEIFS(Infill[Total Time],Infill[Material Usage Icon],_xlfn.XLOOKUP("Normal",Rating[Name],Rating[level-to-worse]))</f>
        <v>1.3146115883750684</v>
      </c>
      <c r="AE22" s="2" t="str">
        <f>_xlfn.XLOOKUP(Infill[[#This Row],[t prom]],Rating[Max %],Rating[Name],,1)</f>
        <v>High</v>
      </c>
      <c r="AF22" s="2" t="str">
        <f>_xlfn.XLOOKUP(Infill[[#This Row],[t prom]],Rating[Max %],Rating[level-to-worse],,1)</f>
        <v>![level-to-worse-6](https://github.com/OrcaSlicer/OrcaSlicer_WIKI/blob/main/images/images/misc/level-to-worse-6.svg?raw=true)</v>
      </c>
      <c r="AG22" s="3">
        <f>Infill[[#This Row],[g]]/Infill[[#This Row],[Total Time]]</f>
        <v>0.36202828127458009</v>
      </c>
      <c r="AH22" s="2">
        <f>Infill[[#This Row],[g/t]]/AVERAGEIFS(Infill[g/t],Infill[Material Usage Icon],_xlfn.XLOOKUP("Normal",Rating[Name],Rating[level-to-worse]))</f>
        <v>0.66446884680300722</v>
      </c>
      <c r="AI22" s="2" t="str">
        <f>_xlfn.XLOOKUP(Infill[[#This Row],[g/t prom]],Rating[Max %],Rating[Name],,1)</f>
        <v>Low</v>
      </c>
      <c r="AJ22" s="1" t="str">
        <f>_xlfn.XLOOKUP(Infill[[#This Row],[g/t prom]],Rating[Max %],Rating[level-to-better],,1)</f>
        <v>![level-to-better-2](https://github.com/OrcaSlicer/OrcaSlicer_WIKI/blob/main/images/images/misc/level-to-better-2.svg?raw=true)</v>
      </c>
      <c r="AK22" s="2" t="str">
        <f>SUBSTITUTE(LOWER(Infill[[#This Row],[name]])," ","-")</f>
        <v>cross-hatch</v>
      </c>
      <c r="AL22" t="str">
        <f>"param_"&amp;Infill[[#This Row],[infill]]</f>
        <v>param_crosshatch</v>
      </c>
      <c r="AM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N22" s="2" t="str">
        <f>"["&amp;Infill[[#This Row],[name]]&amp;"](#"&amp;Infill[[#This Row],[nameMD]]&amp;")"</f>
        <v>[Cross Hatch](#cross-hatch)</v>
      </c>
      <c r="AO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![level-to-better-5](https://github.com/OrcaSlicer/OrcaSlicer_WIKI/blob/main/images/images/misc/level-to-better-5.svg?raw=true)
  - **Vertical (Z):** Normal-High ![level-to-better-5](https://github.com/OrcaSlicer/OrcaSlicer_WIKI/blob/main/images/images/misc/level-to-better-5.svg?raw=true)
- **Density Calculation:**  % of  total infill volume
  - **Material Usage:** Normal ![level-to-worse-4](https://github.com/OrcaSlicer/OrcaSlicer_WIKI/blob/main/images/images/misc/level-to-worse-4.svg?raw=true)
  - **Print Time:** High ![level-to-worse-6](https://github.com/OrcaSlicer/OrcaSlicer_WIKI/blob/main/images/images/misc/level-to-worse-6.svg?raw=true)
    - **Material/Time (Higher better):** Low ![level-to-better-2](https://github.com/OrcaSlicer/OrcaSlicer_WIKI/blob/main/images/images/misc/level-to-better-2.svg?raw=true)
    - **Layer time Variability:** Likely Noticeable
- **Multiline:** [Classic](strength_settings_infill#classic-strategy)
- **Applies to:**
  - **[Sparse Infill](strength_settings_infill#sparse-infill-density)**
![infill-top-cross-hatch](https://github.com/OrcaSlicer/OrcaSlicer_WIKI/blob/main/images/fill/infill-top-cross-hatch.png?raw=true)
</v>
      </c>
      <c r="AQ22" t="str">
        <f>IF(OR(Infill[[#This Row],[Is Infill]],Infill[[#This Row],[Is Surface]])," { """&amp;Infill[[#This Row],[infill]]&amp;""", "&amp;Infill[[#This Row],[ip]]&amp;" },","")</f>
        <v xml:space="preserve"> { "crosshatch", ipCrossHatch },</v>
      </c>
      <c r="AR22" t="str">
        <f>IF(OR(Infill[[#This Row],[Is Infill]],Infill[[#This Row],[Is Surface]]),"def-&gt;enum_values.push_back("""&amp;Infill[[#This Row],[infill]]&amp;""");","")</f>
        <v>def-&gt;enum_values.push_back("crosshatch");</v>
      </c>
      <c r="AS22" t="str">
        <f>IF(OR(Infill[[#This Row],[Is Infill]],Infill[[#This Row],[Is Surface]]),"def-&gt;enum_labels.push_back(L("""&amp;Infill[[#This Row],[name]]&amp;"""));","")</f>
        <v>def-&gt;enum_labels.push_back(L("Cross Hatch"));</v>
      </c>
      <c r="AU22" t="str">
        <f>Infill[[#This Row],[SVG Link]]</f>
        <v>&lt;img alt="param_crosshatch" src="https://github.com/OrcaSlicer/OrcaSlicer/blob/main/resources/images/param_crosshatch.svg?raw=true" height="45"&gt;</v>
      </c>
      <c r="AV22" s="1" t="str">
        <f>Infill[[#This Row],[Pattern]]</f>
        <v>[Cross Hatch](#cross-hatch)</v>
      </c>
      <c r="AW22" s="6" t="str">
        <f>"X-Y: "&amp;Infill[[#This Row],[X-Y Strength Icon]]&amp;"
Z: "&amp;Infill[[#This Row],[Z Strength Icon]]</f>
        <v>X-Y: ![level-to-better-5](https://github.com/OrcaSlicer/OrcaSlicer_WIKI/blob/main/images/images/misc/level-to-better-5.svg?raw=true)
Z: ![level-to-better-5](https://github.com/OrcaSlicer/OrcaSlicer_WIKI/blob/main/images/images/misc/level-to-better-5.svg?raw=true)</v>
      </c>
      <c r="AX22" s="1" t="str">
        <f>Infill[[#This Row],[Material Usage Icon]]</f>
        <v>![level-to-worse-4](https://github.com/OrcaSlicer/OrcaSlicer_WIKI/blob/main/images/images/misc/level-to-worse-4.svg?raw=true)</v>
      </c>
      <c r="AY22" s="1" t="str">
        <f>Infill[[#This Row],[Print Time Icon]]</f>
        <v>![level-to-worse-6](https://github.com/OrcaSlicer/OrcaSlicer_WIKI/blob/main/images/images/misc/level-to-worse-6.svg?raw=true)</v>
      </c>
      <c r="AZ22" t="str">
        <f ca="1">Infill[[#This Row],[Layer time Variability]]</f>
        <v>Likely Noticeable</v>
      </c>
      <c r="BA22" s="1" t="str">
        <f>Infill[[#This Row],[Multiline]]</f>
        <v>[Classic](strength_settings_infill#classic-strategy)</v>
      </c>
    </row>
    <row r="23" spans="2:53" ht="270" x14ac:dyDescent="0.25">
      <c r="E23">
        <v>21</v>
      </c>
      <c r="F23" t="b">
        <v>1</v>
      </c>
      <c r="G23" t="b">
        <v>0</v>
      </c>
      <c r="H23" t="b">
        <v>0</v>
      </c>
      <c r="I23" t="s">
        <v>8</v>
      </c>
      <c r="J23" t="s">
        <v>155</v>
      </c>
      <c r="K23" t="s">
        <v>98</v>
      </c>
      <c r="L23" t="s">
        <v>127</v>
      </c>
      <c r="M23" t="s">
        <v>224</v>
      </c>
      <c r="N23" s="6" t="s">
        <v>89</v>
      </c>
      <c r="O23">
        <v>6</v>
      </c>
      <c r="P23" t="str">
        <f>_xlfn.XLOOKUP(Infill[[#This Row],[XY-N]],Rating[N],Rating[Name])</f>
        <v>High</v>
      </c>
      <c r="Q23" t="str">
        <f>_xlfn.XLOOKUP(Infill[[#This Row],[XY-N]],Rating[N],Rating[level-to-better])</f>
        <v>![level-to-better-6](https://github.com/OrcaSlicer/OrcaSlicer_WIKI/blob/main/images/images/misc/level-to-better-6.svg?raw=true)</v>
      </c>
      <c r="R23">
        <v>6</v>
      </c>
      <c r="S23" t="str">
        <f>_xlfn.XLOOKUP(Infill[[#This Row],[Z-N]],Rating[N],Rating[Name])</f>
        <v>High</v>
      </c>
      <c r="T23" t="str">
        <f>_xlfn.XLOOKUP(Infill[[#This Row],[Z-N]],Rating[N],Rating[level-to-better])</f>
        <v>![level-to-better-6](https://github.com/OrcaSlicer/OrcaSlicer_WIKI/blob/main/images/images/misc/level-to-better-6.svg?raw=true)</v>
      </c>
      <c r="U23" s="11">
        <f ca="1">_xlfn.XLOOKUP(Infill[[#This Row],[infill]],Tabla7[infill],Tabla7[% 2 Sigma])</f>
        <v>0.68529357308498673</v>
      </c>
      <c r="V23" t="str">
        <f ca="1">_xlfn.XLOOKUP(Infill[[#This Row],[% 2 Sigma]],AbsRating[Max %],AbsRating[Name],,1)</f>
        <v>Possibly Noticeable</v>
      </c>
      <c r="W23" t="str">
        <f ca="1">_xlfn.XLOOKUP(Infill[[#This Row],[% 2 Sigma]],AbsRating[Max %],AbsRating[icon],,1)</f>
        <v>🟡</v>
      </c>
      <c r="X23" s="2" t="s">
        <v>73</v>
      </c>
      <c r="Y23">
        <f>_xlfn.XLOOKUP(Infill[[#This Row],[infill]],Tabla7[infill],Tabla7[g])</f>
        <v>151.50399999999999</v>
      </c>
      <c r="Z23" s="2">
        <f>Infill[[#This Row],[g]]/(997.25*0.15)</f>
        <v>1.0128118993899891</v>
      </c>
      <c r="AA23" s="2" t="str">
        <f>_xlfn.XLOOKUP(Infill[[#This Row],[% Effective]],Rating[Max %],Rating[Name],,1)</f>
        <v>Normal</v>
      </c>
      <c r="AB23" s="2" t="str">
        <f>_xlfn.XLOOKUP(Infill[[#This Row],[% Effective]],Rating[Max %],Rating[level-to-worse],,1)</f>
        <v>![level-to-worse-4](https://github.com/OrcaSlicer/OrcaSlicer_WIKI/blob/main/images/images/misc/level-to-worse-4.svg?raw=true)</v>
      </c>
      <c r="AC23">
        <f>_xlfn.XLOOKUP(Infill[[#This Row],[infill]],Tabla7[infill],Tabla7[Total Time])</f>
        <v>446.94600000000003</v>
      </c>
      <c r="AD23" s="2">
        <f>Infill[[#This Row],[Total Time]]/AVERAGEIFS(Infill[Total Time],Infill[Material Usage Icon],_xlfn.XLOOKUP("Normal",Rating[Name],Rating[level-to-worse]))</f>
        <v>1.4671513994009231</v>
      </c>
      <c r="AE23" s="2" t="str">
        <f>_xlfn.XLOOKUP(Infill[[#This Row],[t prom]],Rating[Max %],Rating[Name],,1)</f>
        <v>High</v>
      </c>
      <c r="AF23" s="2" t="str">
        <f>_xlfn.XLOOKUP(Infill[[#This Row],[t prom]],Rating[Max %],Rating[level-to-worse],,1)</f>
        <v>![level-to-worse-6](https://github.com/OrcaSlicer/OrcaSlicer_WIKI/blob/main/images/images/misc/level-to-worse-6.svg?raw=true)</v>
      </c>
      <c r="AG23" s="3">
        <f>Infill[[#This Row],[g]]/Infill[[#This Row],[Total Time]]</f>
        <v>0.3389760731721505</v>
      </c>
      <c r="AH23" s="2">
        <f>Infill[[#This Row],[g/t]]/AVERAGEIFS(Infill[g/t],Infill[Material Usage Icon],_xlfn.XLOOKUP("Normal",Rating[Name],Rating[level-to-worse]))</f>
        <v>0.62215868782825356</v>
      </c>
      <c r="AI23" s="2" t="str">
        <f>_xlfn.XLOOKUP(Infill[[#This Row],[g/t prom]],Rating[Max %],Rating[Name],,1)</f>
        <v>Low</v>
      </c>
      <c r="AJ23" s="1" t="str">
        <f>_xlfn.XLOOKUP(Infill[[#This Row],[g/t prom]],Rating[Max %],Rating[level-to-better],,1)</f>
        <v>![level-to-better-2](https://github.com/OrcaSlicer/OrcaSlicer_WIKI/blob/main/images/images/misc/level-to-better-2.svg?raw=true)</v>
      </c>
      <c r="AK23" s="2" t="str">
        <f>SUBSTITUTE(LOWER(Infill[[#This Row],[name]])," ","-")</f>
        <v>tpms-d</v>
      </c>
      <c r="AL23" t="str">
        <f>"param_"&amp;Infill[[#This Row],[infill]]</f>
        <v>param_tpmsd</v>
      </c>
      <c r="AM23" t="str">
        <f>"&lt;img alt=""" &amp; Infill[[#This Row],[SVG]] &amp; """ src=""https://github.com/OrcaSlicer/OrcaSlicer/blob/main/resources/images/" &amp; Infill[[#This Row],[SVG]] &amp; ".svg?raw=true"" height=""45""&gt;"</f>
        <v>&lt;img alt="param_tpmsd" src="https://github.com/OrcaSlicer/OrcaSlicer/blob/main/resources/images/param_tpmsd.svg?raw=true" height="45"&gt;</v>
      </c>
      <c r="AN23" s="2" t="str">
        <f>"["&amp;Infill[[#This Row],[name]]&amp;"](#"&amp;Infill[[#This Row],[nameMD]]&amp;")"</f>
        <v>[TPMS-D](#tpms-d)</v>
      </c>
      <c r="AO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High ![level-to-worse-6](https://github.com/OrcaSlicer/OrcaSlicer_WIKI/blob/main/images/images/misc/level-to-worse-6.svg?raw=true)
    - **Material/Time (Higher better):** Low ![level-to-better-2](https://github.com/OrcaSlicer/OrcaSlicer_WIKI/blob/main/images/images/misc/level-to-better-2.svg?raw=true)
    - **Layer time Variability:** Possibly Noticeable
- **Multiline:** [Classic](strength_settings_infill#classic-strategy)
- **Applies to:**
  - **[Sparse Infill](strength_settings_infill#sparse-infill-density)**
![infill-top-tpms-d](https://github.com/OrcaSlicer/OrcaSlicer_WIKI/blob/main/images/fill/infill-top-tpms-d.png?raw=true)
</v>
      </c>
      <c r="AQ23" t="str">
        <f>IF(OR(Infill[[#This Row],[Is Infill]],Infill[[#This Row],[Is Surface]])," { """&amp;Infill[[#This Row],[infill]]&amp;""", "&amp;Infill[[#This Row],[ip]]&amp;" },","")</f>
        <v xml:space="preserve"> { "tpmsd", ipTpmsD },</v>
      </c>
      <c r="AR23" t="str">
        <f>IF(OR(Infill[[#This Row],[Is Infill]],Infill[[#This Row],[Is Surface]]),"def-&gt;enum_values.push_back("""&amp;Infill[[#This Row],[infill]]&amp;""");","")</f>
        <v>def-&gt;enum_values.push_back("tpmsd");</v>
      </c>
      <c r="AS23" t="str">
        <f>IF(OR(Infill[[#This Row],[Is Infill]],Infill[[#This Row],[Is Surface]]),"def-&gt;enum_labels.push_back(L("""&amp;Infill[[#This Row],[name]]&amp;"""));","")</f>
        <v>def-&gt;enum_labels.push_back(L("TPMS-D"));</v>
      </c>
      <c r="AU23" t="str">
        <f>Infill[[#This Row],[SVG Link]]</f>
        <v>&lt;img alt="param_tpmsd" src="https://github.com/OrcaSlicer/OrcaSlicer/blob/main/resources/images/param_tpmsd.svg?raw=true" height="45"&gt;</v>
      </c>
      <c r="AV23" s="1" t="str">
        <f>Infill[[#This Row],[Pattern]]</f>
        <v>[TPMS-D](#tpms-d)</v>
      </c>
      <c r="AW23"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23" s="1" t="str">
        <f>Infill[[#This Row],[Material Usage Icon]]</f>
        <v>![level-to-worse-4](https://github.com/OrcaSlicer/OrcaSlicer_WIKI/blob/main/images/images/misc/level-to-worse-4.svg?raw=true)</v>
      </c>
      <c r="AY23" s="1" t="str">
        <f>Infill[[#This Row],[Print Time Icon]]</f>
        <v>![level-to-worse-6](https://github.com/OrcaSlicer/OrcaSlicer_WIKI/blob/main/images/images/misc/level-to-worse-6.svg?raw=true)</v>
      </c>
      <c r="AZ23" t="str">
        <f ca="1">Infill[[#This Row],[Layer time Variability]]</f>
        <v>Possibly Noticeable</v>
      </c>
      <c r="BA23" s="1" t="str">
        <f>Infill[[#This Row],[Multiline]]</f>
        <v>[Classic](strength_settings_infill#classic-strategy)</v>
      </c>
    </row>
    <row r="24" spans="2:53" ht="285" x14ac:dyDescent="0.25">
      <c r="E24">
        <v>22</v>
      </c>
      <c r="F24" t="b">
        <v>1</v>
      </c>
      <c r="G24" t="b">
        <v>0</v>
      </c>
      <c r="H24" t="b">
        <v>0</v>
      </c>
      <c r="I24" t="s">
        <v>165</v>
      </c>
      <c r="J24" t="s">
        <v>155</v>
      </c>
      <c r="K24" t="s">
        <v>163</v>
      </c>
      <c r="L24" t="s">
        <v>164</v>
      </c>
      <c r="M24" t="s">
        <v>224</v>
      </c>
      <c r="N24" s="8" t="s">
        <v>168</v>
      </c>
      <c r="O24">
        <v>5</v>
      </c>
      <c r="P24" t="str">
        <f>_xlfn.XLOOKUP(Infill[[#This Row],[XY-N]],Rating[N],Rating[Name])</f>
        <v>Normal-High</v>
      </c>
      <c r="Q24" t="str">
        <f>_xlfn.XLOOKUP(Infill[[#This Row],[XY-N]],Rating[N],Rating[level-to-better])</f>
        <v>![level-to-better-5](https://github.com/OrcaSlicer/OrcaSlicer_WIKI/blob/main/images/images/misc/level-to-better-5.svg?raw=true)</v>
      </c>
      <c r="R24">
        <v>5</v>
      </c>
      <c r="S24" t="str">
        <f>_xlfn.XLOOKUP(Infill[[#This Row],[Z-N]],Rating[N],Rating[Name])</f>
        <v>Normal-High</v>
      </c>
      <c r="T24" t="str">
        <f>_xlfn.XLOOKUP(Infill[[#This Row],[Z-N]],Rating[N],Rating[level-to-better])</f>
        <v>![level-to-better-5](https://github.com/OrcaSlicer/OrcaSlicer_WIKI/blob/main/images/images/misc/level-to-better-5.svg?raw=true)</v>
      </c>
      <c r="U24" s="11">
        <f ca="1">_xlfn.XLOOKUP(Infill[[#This Row],[infill]],Tabla7[infill],Tabla7[% 2 Sigma])</f>
        <v>0.33055056543794348</v>
      </c>
      <c r="V24" t="str">
        <f ca="1">_xlfn.XLOOKUP(Infill[[#This Row],[% 2 Sigma]],AbsRating[Max %],AbsRating[Name],,1)</f>
        <v>Possibly Noticeable</v>
      </c>
      <c r="W24" t="str">
        <f ca="1">_xlfn.XLOOKUP(Infill[[#This Row],[% 2 Sigma]],AbsRating[Max %],AbsRating[icon],,1)</f>
        <v>🟡</v>
      </c>
      <c r="X24" s="2" t="s">
        <v>73</v>
      </c>
      <c r="Y24">
        <f>_xlfn.XLOOKUP(Infill[[#This Row],[infill]],Tabla7[infill],Tabla7[g])</f>
        <v>151.93199999999999</v>
      </c>
      <c r="Z24" s="2">
        <f>Infill[[#This Row],[g]]/(997.25*0.15)</f>
        <v>1.0156731010278264</v>
      </c>
      <c r="AA24" s="2" t="str">
        <f>_xlfn.XLOOKUP(Infill[[#This Row],[% Effective]],Rating[Max %],Rating[Name],,1)</f>
        <v>Normal</v>
      </c>
      <c r="AB24" s="2" t="str">
        <f>_xlfn.XLOOKUP(Infill[[#This Row],[% Effective]],Rating[Max %],Rating[level-to-worse],,1)</f>
        <v>![level-to-worse-4](https://github.com/OrcaSlicer/OrcaSlicer_WIKI/blob/main/images/images/misc/level-to-worse-4.svg?raw=true)</v>
      </c>
      <c r="AC24">
        <f>_xlfn.XLOOKUP(Infill[[#This Row],[infill]],Tabla7[infill],Tabla7[Total Time])</f>
        <v>595.01499999999999</v>
      </c>
      <c r="AD24" s="2">
        <f>Infill[[#This Row],[Total Time]]/AVERAGEIFS(Infill[Total Time],Infill[Material Usage Icon],_xlfn.XLOOKUP("Normal",Rating[Name],Rating[level-to-worse]))</f>
        <v>1.9532048388721235</v>
      </c>
      <c r="AE24" s="2" t="str">
        <f>_xlfn.XLOOKUP(Infill[[#This Row],[t prom]],Rating[Max %],Rating[Name],,1)</f>
        <v>Ultra-High</v>
      </c>
      <c r="AF24" s="2" t="str">
        <f>_xlfn.XLOOKUP(Infill[[#This Row],[t prom]],Rating[Max %],Rating[level-to-worse],,1)</f>
        <v>![level-to-worse-8](https://github.com/OrcaSlicer/OrcaSlicer_WIKI/blob/main/images/images/misc/level-to-worse-8.svg?raw=true)</v>
      </c>
      <c r="AG24" s="3">
        <f>Infill[[#This Row],[g]]/Infill[[#This Row],[Total Time]]</f>
        <v>0.25534146197995006</v>
      </c>
      <c r="AH24" s="2">
        <f>Infill[[#This Row],[g/t]]/AVERAGEIFS(Infill[g/t],Infill[Material Usage Icon],_xlfn.XLOOKUP("Normal",Rating[Name],Rating[level-to-worse]))</f>
        <v>0.46865522821994104</v>
      </c>
      <c r="AI24" s="2" t="str">
        <f>_xlfn.XLOOKUP(Infill[[#This Row],[g/t prom]],Rating[Max %],Rating[Name],,1)</f>
        <v>Low</v>
      </c>
      <c r="AJ24" s="2" t="str">
        <f>_xlfn.XLOOKUP(Infill[[#This Row],[g/t prom]],Rating[Max %],Rating[level-to-better],,1)</f>
        <v>![level-to-better-2](https://github.com/OrcaSlicer/OrcaSlicer_WIKI/blob/main/images/images/misc/level-to-better-2.svg?raw=true)</v>
      </c>
      <c r="AK24" s="2" t="str">
        <f>SUBSTITUTE(LOWER(Infill[[#This Row],[name]])," ","-")</f>
        <v>tpms-fk</v>
      </c>
      <c r="AL24" t="str">
        <f>"param_"&amp;Infill[[#This Row],[infill]]</f>
        <v>param_tpmsfk</v>
      </c>
      <c r="AM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N24" s="2" t="str">
        <f>"["&amp;Infill[[#This Row],[name]]&amp;"](#"&amp;Infill[[#This Row],[nameMD]]&amp;")"</f>
        <v>[TPMS-FK](#tpms-fk)</v>
      </c>
      <c r="AO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![level-to-better-5](https://github.com/OrcaSlicer/OrcaSlicer_WIKI/blob/main/images/images/misc/level-to-better-5.svg?raw=true)
  - **Vertical (Z):** Normal-High ![level-to-better-5](https://github.com/OrcaSlicer/OrcaSlicer_WIKI/blob/main/images/images/misc/level-to-better-5.svg?raw=true)
- **Density Calculation:**  % of  total infill volume
  - **Material Usage:** Normal ![level-to-worse-4](https://github.com/OrcaSlicer/OrcaSlicer_WIKI/blob/main/images/images/misc/level-to-worse-4.svg?raw=true)
  - **Print Time:** Ultra-High ![level-to-worse-8](https://github.com/OrcaSlicer/OrcaSlicer_WIKI/blob/main/images/images/misc/level-to-worse-8.svg?raw=true)
    - **Material/Time (Higher better):** Low ![level-to-better-2](https://github.com/OrcaSlicer/OrcaSlicer_WIKI/blob/main/images/images/misc/level-to-better-2.svg?raw=true)
    - **Layer time Variability:** Possibly Noticeable
- **Multiline:** [Classic](strength_settings_infill#classic-strategy)
- **Applies to:**
  - **[Sparse Infill](strength_settings_infill#sparse-infill-density)**
![infill-top-tpms-fk](https://github.com/OrcaSlicer/OrcaSlicer_WIKI/blob/main/images/fill/infill-top-tpms-fk.png?raw=true)
</v>
      </c>
      <c r="AQ24" s="5" t="str">
        <f>IF(OR(Infill[[#This Row],[Is Infill]],Infill[[#This Row],[Is Surface]])," { """&amp;Infill[[#This Row],[infill]]&amp;""", "&amp;Infill[[#This Row],[ip]]&amp;" },","")</f>
        <v xml:space="preserve"> { "tpmsfk", ipTpmsFK },</v>
      </c>
      <c r="AR24" s="5" t="str">
        <f>IF(OR(Infill[[#This Row],[Is Infill]],Infill[[#This Row],[Is Surface]]),"def-&gt;enum_values.push_back("""&amp;Infill[[#This Row],[infill]]&amp;""");","")</f>
        <v>def-&gt;enum_values.push_back("tpmsfk");</v>
      </c>
      <c r="AS24" s="5" t="str">
        <f>IF(OR(Infill[[#This Row],[Is Infill]],Infill[[#This Row],[Is Surface]]),"def-&gt;enum_labels.push_back(L("""&amp;Infill[[#This Row],[name]]&amp;"""));","")</f>
        <v>def-&gt;enum_labels.push_back(L("TPMS-FK"));</v>
      </c>
      <c r="AU24" t="str">
        <f>Infill[[#This Row],[SVG Link]]</f>
        <v>&lt;img alt="param_tpmsfk" src="https://github.com/OrcaSlicer/OrcaSlicer/blob/main/resources/images/param_tpmsfk.svg?raw=true" height="45"&gt;</v>
      </c>
      <c r="AV24" s="1" t="str">
        <f>Infill[[#This Row],[Pattern]]</f>
        <v>[TPMS-FK](#tpms-fk)</v>
      </c>
      <c r="AW24" s="6" t="str">
        <f>"X-Y: "&amp;Infill[[#This Row],[X-Y Strength Icon]]&amp;"
Z: "&amp;Infill[[#This Row],[Z Strength Icon]]</f>
        <v>X-Y: ![level-to-better-5](https://github.com/OrcaSlicer/OrcaSlicer_WIKI/blob/main/images/images/misc/level-to-better-5.svg?raw=true)
Z: ![level-to-better-5](https://github.com/OrcaSlicer/OrcaSlicer_WIKI/blob/main/images/images/misc/level-to-better-5.svg?raw=true)</v>
      </c>
      <c r="AX24" s="1" t="str">
        <f>Infill[[#This Row],[Material Usage Icon]]</f>
        <v>![level-to-worse-4](https://github.com/OrcaSlicer/OrcaSlicer_WIKI/blob/main/images/images/misc/level-to-worse-4.svg?raw=true)</v>
      </c>
      <c r="AY24" s="1" t="str">
        <f>Infill[[#This Row],[Print Time Icon]]</f>
        <v>![level-to-worse-8](https://github.com/OrcaSlicer/OrcaSlicer_WIKI/blob/main/images/images/misc/level-to-worse-8.svg?raw=true)</v>
      </c>
      <c r="AZ24" t="str">
        <f ca="1">Infill[[#This Row],[Layer time Variability]]</f>
        <v>Possibly Noticeable</v>
      </c>
      <c r="BA24" s="1" t="str">
        <f>Infill[[#This Row],[Multiline]]</f>
        <v>[Classic](strength_settings_infill#classic-strategy)</v>
      </c>
    </row>
    <row r="25" spans="2:53" ht="285" x14ac:dyDescent="0.25">
      <c r="E25">
        <v>23</v>
      </c>
      <c r="F25" t="b">
        <v>1</v>
      </c>
      <c r="G25" t="b">
        <v>0</v>
      </c>
      <c r="H25" t="b">
        <v>0</v>
      </c>
      <c r="I25" t="s">
        <v>7</v>
      </c>
      <c r="J25" t="s">
        <v>155</v>
      </c>
      <c r="K25" t="s">
        <v>97</v>
      </c>
      <c r="L25" t="s">
        <v>126</v>
      </c>
      <c r="M25" t="s">
        <v>224</v>
      </c>
      <c r="N25" s="6" t="s">
        <v>84</v>
      </c>
      <c r="O25">
        <v>6</v>
      </c>
      <c r="P25" t="str">
        <f>_xlfn.XLOOKUP(Infill[[#This Row],[XY-N]],Rating[N],Rating[Name])</f>
        <v>High</v>
      </c>
      <c r="Q25" t="str">
        <f>_xlfn.XLOOKUP(Infill[[#This Row],[XY-N]],Rating[N],Rating[level-to-better])</f>
        <v>![level-to-better-6](https://github.com/OrcaSlicer/OrcaSlicer_WIKI/blob/main/images/images/misc/level-to-better-6.svg?raw=true)</v>
      </c>
      <c r="R25">
        <v>6</v>
      </c>
      <c r="S25" t="str">
        <f>_xlfn.XLOOKUP(Infill[[#This Row],[Z-N]],Rating[N],Rating[Name])</f>
        <v>High</v>
      </c>
      <c r="T25" t="str">
        <f>_xlfn.XLOOKUP(Infill[[#This Row],[Z-N]],Rating[N],Rating[level-to-better])</f>
        <v>![level-to-better-6](https://github.com/OrcaSlicer/OrcaSlicer_WIKI/blob/main/images/images/misc/level-to-better-6.svg?raw=true)</v>
      </c>
      <c r="U25" s="11">
        <f ca="1">_xlfn.XLOOKUP(Infill[[#This Row],[infill]],Tabla7[infill],Tabla7[% 2 Sigma])</f>
        <v>0.19491611495609784</v>
      </c>
      <c r="V25" t="str">
        <f ca="1">_xlfn.XLOOKUP(Infill[[#This Row],[% 2 Sigma]],AbsRating[Max %],AbsRating[Name],,1)</f>
        <v>Unnoticeable</v>
      </c>
      <c r="W25" t="str">
        <f ca="1">_xlfn.XLOOKUP(Infill[[#This Row],[% 2 Sigma]],AbsRating[Max %],AbsRating[icon],,1)</f>
        <v>🔵</v>
      </c>
      <c r="X25" s="2" t="s">
        <v>73</v>
      </c>
      <c r="Y25">
        <f>_xlfn.XLOOKUP(Infill[[#This Row],[infill]],Tabla7[infill],Tabla7[g])</f>
        <v>141.739</v>
      </c>
      <c r="Z25" s="2">
        <f>Infill[[#This Row],[g]]/(997.25*0.15)</f>
        <v>0.94753238071362911</v>
      </c>
      <c r="AA25" s="2" t="str">
        <f>_xlfn.XLOOKUP(Infill[[#This Row],[% Effective]],Rating[Max %],Rating[Name],,1)</f>
        <v>Normal</v>
      </c>
      <c r="AB25" s="2" t="str">
        <f>_xlfn.XLOOKUP(Infill[[#This Row],[% Effective]],Rating[Max %],Rating[level-to-worse],,1)</f>
        <v>![level-to-worse-4](https://github.com/OrcaSlicer/OrcaSlicer_WIKI/blob/main/images/images/misc/level-to-worse-4.svg?raw=true)</v>
      </c>
      <c r="AC25">
        <f>_xlfn.XLOOKUP(Infill[[#This Row],[infill]],Tabla7[infill],Tabla7[Total Time])</f>
        <v>609.35799999999995</v>
      </c>
      <c r="AD25" s="2">
        <f>Infill[[#This Row],[Total Time]]/AVERAGEIFS(Infill[Total Time],Infill[Material Usage Icon],_xlfn.XLOOKUP("Normal",Rating[Name],Rating[level-to-worse]))</f>
        <v>2.000287377974403</v>
      </c>
      <c r="AE25" s="2" t="str">
        <f>_xlfn.XLOOKUP(Infill[[#This Row],[t prom]],Rating[Max %],Rating[Name],,1)</f>
        <v>Ultra-High</v>
      </c>
      <c r="AF25" s="2" t="str">
        <f>_xlfn.XLOOKUP(Infill[[#This Row],[t prom]],Rating[Max %],Rating[level-to-worse],,1)</f>
        <v>![level-to-worse-8](https://github.com/OrcaSlicer/OrcaSlicer_WIKI/blob/main/images/images/misc/level-to-worse-8.svg?raw=true)</v>
      </c>
      <c r="AG25" s="3">
        <f>Infill[[#This Row],[g]]/Infill[[#This Row],[Total Time]]</f>
        <v>0.23260382238355781</v>
      </c>
      <c r="AH25" s="2">
        <f>Infill[[#This Row],[g/t]]/AVERAGEIFS(Infill[g/t],Infill[Material Usage Icon],_xlfn.XLOOKUP("Normal",Rating[Name],Rating[level-to-worse]))</f>
        <v>0.42692243014006354</v>
      </c>
      <c r="AI25" s="2" t="str">
        <f>_xlfn.XLOOKUP(Infill[[#This Row],[g/t prom]],Rating[Max %],Rating[Name],,1)</f>
        <v>Low</v>
      </c>
      <c r="AJ25" s="1" t="str">
        <f>_xlfn.XLOOKUP(Infill[[#This Row],[g/t prom]],Rating[Max %],Rating[level-to-better],,1)</f>
        <v>![level-to-better-2](https://github.com/OrcaSlicer/OrcaSlicer_WIKI/blob/main/images/images/misc/level-to-better-2.svg?raw=true)</v>
      </c>
      <c r="AK25" s="2" t="str">
        <f>SUBSTITUTE(LOWER(Infill[[#This Row],[name]])," ","-")</f>
        <v>gyroid</v>
      </c>
      <c r="AL25" t="str">
        <f>"param_"&amp;Infill[[#This Row],[infill]]</f>
        <v>param_gyroid</v>
      </c>
      <c r="AM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N25" s="2" t="str">
        <f>"["&amp;Infill[[#This Row],[name]]&amp;"](#"&amp;Infill[[#This Row],[nameMD]]&amp;")"</f>
        <v>[Gyroid](#gyroid)</v>
      </c>
      <c r="AO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P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
- **Strength**
  - **Horizontal (X-Y):** High ![level-to-better-6](https://github.com/OrcaSlicer/OrcaSlicer_WIKI/blob/main/images/images/misc/level-to-better-6.svg?raw=true)
  - **Vertical (Z):** High ![level-to-better-6](https://github.com/OrcaSlicer/OrcaSlicer_WIKI/blob/main/images/images/misc/level-to-better-6.svg?raw=true)
- **Density Calculation:**  % of  total infill volume
  - **Material Usage:** Normal ![level-to-worse-4](https://github.com/OrcaSlicer/OrcaSlicer_WIKI/blob/main/images/images/misc/level-to-worse-4.svg?raw=true)
  - **Print Time:** Ultra-High ![level-to-worse-8](https://github.com/OrcaSlicer/OrcaSlicer_WIKI/blob/main/images/images/misc/level-to-worse-8.svg?raw=true)
    - **Material/Time (Higher better):** Low ![level-to-better-2](https://github.com/OrcaSlicer/OrcaSlicer_WIKI/blob/main/images/images/misc/level-to-better-2.svg?raw=true)
    - **Layer time Variability:** Unnoticeable
- **Multiline:** [Classic](strength_settings_infill#classic-strategy)
- **Applies to:**
  - **[Sparse Infill](strength_settings_infill#sparse-infill-density)**
![infill-top-gyroid](https://github.com/OrcaSlicer/OrcaSlicer_WIKI/blob/main/images/fill/infill-top-gyroid.png?raw=true)
</v>
      </c>
      <c r="AQ25" t="str">
        <f>IF(OR(Infill[[#This Row],[Is Infill]],Infill[[#This Row],[Is Surface]])," { """&amp;Infill[[#This Row],[infill]]&amp;""", "&amp;Infill[[#This Row],[ip]]&amp;" },","")</f>
        <v xml:space="preserve"> { "gyroid", ipGyroid },</v>
      </c>
      <c r="AR25" t="str">
        <f>IF(OR(Infill[[#This Row],[Is Infill]],Infill[[#This Row],[Is Surface]]),"def-&gt;enum_values.push_back("""&amp;Infill[[#This Row],[infill]]&amp;""");","")</f>
        <v>def-&gt;enum_values.push_back("gyroid");</v>
      </c>
      <c r="AS25" t="str">
        <f>IF(OR(Infill[[#This Row],[Is Infill]],Infill[[#This Row],[Is Surface]]),"def-&gt;enum_labels.push_back(L("""&amp;Infill[[#This Row],[name]]&amp;"""));","")</f>
        <v>def-&gt;enum_labels.push_back(L("Gyroid"));</v>
      </c>
      <c r="AU25" t="str">
        <f>Infill[[#This Row],[SVG Link]]</f>
        <v>&lt;img alt="param_gyroid" src="https://github.com/OrcaSlicer/OrcaSlicer/blob/main/resources/images/param_gyroid.svg?raw=true" height="45"&gt;</v>
      </c>
      <c r="AV25" s="1" t="str">
        <f>Infill[[#This Row],[Pattern]]</f>
        <v>[Gyroid](#gyroid)</v>
      </c>
      <c r="AW25" s="6" t="str">
        <f>"X-Y: "&amp;Infill[[#This Row],[X-Y Strength Icon]]&amp;"
Z: "&amp;Infill[[#This Row],[Z Strength Icon]]</f>
        <v>X-Y: ![level-to-better-6](https://github.com/OrcaSlicer/OrcaSlicer_WIKI/blob/main/images/images/misc/level-to-better-6.svg?raw=true)
Z: ![level-to-better-6](https://github.com/OrcaSlicer/OrcaSlicer_WIKI/blob/main/images/images/misc/level-to-better-6.svg?raw=true)</v>
      </c>
      <c r="AX25" s="1" t="str">
        <f>Infill[[#This Row],[Material Usage Icon]]</f>
        <v>![level-to-worse-4](https://github.com/OrcaSlicer/OrcaSlicer_WIKI/blob/main/images/images/misc/level-to-worse-4.svg?raw=true)</v>
      </c>
      <c r="AY25" s="1" t="str">
        <f>Infill[[#This Row],[Print Time Icon]]</f>
        <v>![level-to-worse-8](https://github.com/OrcaSlicer/OrcaSlicer_WIKI/blob/main/images/images/misc/level-to-worse-8.svg?raw=true)</v>
      </c>
      <c r="AZ25" t="str">
        <f ca="1">Infill[[#This Row],[Layer time Variability]]</f>
        <v>Unnoticeable</v>
      </c>
      <c r="BA25" s="1" t="str">
        <f>Infill[[#This Row],[Multiline]]</f>
        <v>[Classic](strength_settings_infill#classic-strategy)</v>
      </c>
    </row>
    <row r="26" spans="2:53" ht="315" x14ac:dyDescent="0.25">
      <c r="E26">
        <v>24</v>
      </c>
      <c r="F26" t="b">
        <v>1</v>
      </c>
      <c r="G26" t="b">
        <v>1</v>
      </c>
      <c r="H26" t="b">
        <v>1</v>
      </c>
      <c r="I26" t="s">
        <v>0</v>
      </c>
      <c r="J26" t="s">
        <v>184</v>
      </c>
      <c r="K26" t="s">
        <v>90</v>
      </c>
      <c r="L26" t="s">
        <v>120</v>
      </c>
      <c r="M26" t="s">
        <v>224</v>
      </c>
      <c r="N26" s="8" t="s">
        <v>51</v>
      </c>
      <c r="O26" s="5">
        <v>2</v>
      </c>
      <c r="P26" s="5" t="str">
        <f>_xlfn.XLOOKUP(Infill[[#This Row],[XY-N]],Rating[N],Rating[Name])</f>
        <v>Low</v>
      </c>
      <c r="Q26" t="str">
        <f>_xlfn.XLOOKUP(Infill[[#This Row],[XY-N]],Rating[N],Rating[level-to-better])</f>
        <v>![level-to-better-2](https://github.com/OrcaSlicer/OrcaSlicer_WIKI/blob/main/images/images/misc/level-to-better-2.svg?raw=true)</v>
      </c>
      <c r="R26">
        <v>4</v>
      </c>
      <c r="S26" t="str">
        <f>_xlfn.XLOOKUP(Infill[[#This Row],[Z-N]],Rating[N],Rating[Name])</f>
        <v>Normal</v>
      </c>
      <c r="T26" t="str">
        <f>_xlfn.XLOOKUP(Infill[[#This Row],[Z-N]],Rating[N],Rating[level-to-better])</f>
        <v>![level-to-better-4](https://github.com/OrcaSlicer/OrcaSlicer_WIKI/blob/main/images/images/misc/level-to-better-4.svg?raw=true)</v>
      </c>
      <c r="U26" s="11">
        <f ca="1">_xlfn.XLOOKUP(Infill[[#This Row],[infill]],Tabla7[infill],Tabla7[% 2 Sigma])</f>
        <v>8.4987052864082813E-5</v>
      </c>
      <c r="V26" t="str">
        <f ca="1">_xlfn.XLOOKUP(Infill[[#This Row],[% 2 Sigma]],AbsRating[Max %],AbsRating[Name],,1)</f>
        <v>None</v>
      </c>
      <c r="W26" t="str">
        <f ca="1">_xlfn.XLOOKUP(Infill[[#This Row],[% 2 Sigma]],AbsRating[Max %],AbsRating[icon],,1)</f>
        <v>🟢</v>
      </c>
      <c r="X26" s="2" t="s">
        <v>73</v>
      </c>
      <c r="Y26">
        <f>_xlfn.XLOOKUP(Infill[[#This Row],[infill]],Tabla7[infill],Tabla7[g])</f>
        <v>157.10900000000001</v>
      </c>
      <c r="Z26" s="2">
        <f>Infill[[#This Row],[g]]/(997.25*0.15)</f>
        <v>1.0502816077546586</v>
      </c>
      <c r="AA26" s="2" t="str">
        <f>_xlfn.XLOOKUP(Infill[[#This Row],[% Effective]],Rating[Max %],Rating[Name],,1)</f>
        <v>Normal</v>
      </c>
      <c r="AB26" s="2" t="str">
        <f>_xlfn.XLOOKUP(Infill[[#This Row],[% Effective]],Rating[Max %],Rating[level-to-worse],,1)</f>
        <v>![level-to-worse-4](https://github.com/OrcaSlicer/OrcaSlicer_WIKI/blob/main/images/images/misc/level-to-worse-4.svg?raw=true)</v>
      </c>
      <c r="AC26">
        <f>_xlfn.XLOOKUP(Infill[[#This Row],[infill]],Tabla7[infill],Tabla7[Total Time])</f>
        <v>238.51</v>
      </c>
      <c r="AD26" s="2">
        <f>Infill[[#This Row],[Total Time]]/AVERAGEIFS(Infill[Total Time],Infill[Material Usage Icon],_xlfn.XLOOKUP("Normal",Rating[Name],Rating[level-to-worse]))</f>
        <v>0.78293637323326337</v>
      </c>
      <c r="AE26" s="2" t="str">
        <f>_xlfn.XLOOKUP(Infill[[#This Row],[t prom]],Rating[Max %],Rating[Name],,1)</f>
        <v>Normal-Low</v>
      </c>
      <c r="AF26" s="2" t="str">
        <f>_xlfn.XLOOKUP(Infill[[#This Row],[t prom]],Rating[Max %],Rating[level-to-worse],,1)</f>
        <v>![level-to-worse-3](https://github.com/OrcaSlicer/OrcaSlicer_WIKI/blob/main/images/images/misc/level-to-worse-3.svg?raw=true)</v>
      </c>
      <c r="AG26" s="3">
        <f>Infill[[#This Row],[g]]/Infill[[#This Row],[Total Time]]</f>
        <v>0.65871032661104367</v>
      </c>
      <c r="AH26" s="2">
        <f>Infill[[#This Row],[g/t]]/AVERAGEIFS(Infill[g/t],Infill[Material Usage Icon],_xlfn.XLOOKUP("Normal",Rating[Name],Rating[level-to-worse]))</f>
        <v>1.2090008260114489</v>
      </c>
      <c r="AI26" s="2" t="str">
        <f>_xlfn.XLOOKUP(Infill[[#This Row],[g/t prom]],Rating[Max %],Rating[Name],,1)</f>
        <v>Normal-High</v>
      </c>
      <c r="AJ26" s="1" t="str">
        <f>_xlfn.XLOOKUP(Infill[[#This Row],[g/t prom]],Rating[Max %],Rating[level-to-better],,1)</f>
        <v>![level-to-better-5](https://github.com/OrcaSlicer/OrcaSlicer_WIKI/blob/main/images/images/misc/level-to-better-5.svg?raw=true)</v>
      </c>
      <c r="AK26" s="2" t="str">
        <f>SUBSTITUTE(LOWER(Infill[[#This Row],[name]])," ","-")</f>
        <v>concentric</v>
      </c>
      <c r="AL26" t="str">
        <f>"param_"&amp;Infill[[#This Row],[infill]]</f>
        <v>param_concentric</v>
      </c>
      <c r="AM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N26" s="2" t="str">
        <f>"["&amp;Infill[[#This Row],[name]]&amp;"](#"&amp;Infill[[#This Row],[nameMD]]&amp;")"</f>
        <v>[Concentric](#concentric)</v>
      </c>
      <c r="AO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P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![level-to-better-2](https://github.com/OrcaSlicer/OrcaSlicer_WIKI/blob/main/images/images/misc/level-to-better-2.svg?raw=true)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[Classic](strength_settings_infill#classic-strategy)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Q26" t="str">
        <f>IF(OR(Infill[[#This Row],[Is Infill]],Infill[[#This Row],[Is Surface]])," { """&amp;Infill[[#This Row],[infill]]&amp;""", "&amp;Infill[[#This Row],[ip]]&amp;" },","")</f>
        <v xml:space="preserve"> { "concentric", ipConcentric },</v>
      </c>
      <c r="AR26" t="str">
        <f>IF(OR(Infill[[#This Row],[Is Infill]],Infill[[#This Row],[Is Surface]]),"def-&gt;enum_values.push_back("""&amp;Infill[[#This Row],[infill]]&amp;""");","")</f>
        <v>def-&gt;enum_values.push_back("concentric");</v>
      </c>
      <c r="AS26" t="str">
        <f>IF(OR(Infill[[#This Row],[Is Infill]],Infill[[#This Row],[Is Surface]]),"def-&gt;enum_labels.push_back(L("""&amp;Infill[[#This Row],[name]]&amp;"""));","")</f>
        <v>def-&gt;enum_labels.push_back(L("Concentric"));</v>
      </c>
      <c r="AU26" t="str">
        <f>Infill[[#This Row],[SVG Link]]</f>
        <v>&lt;img alt="param_concentric" src="https://github.com/OrcaSlicer/OrcaSlicer/blob/main/resources/images/param_concentric.svg?raw=true" height="45"&gt;</v>
      </c>
      <c r="AV26" s="1" t="str">
        <f>Infill[[#This Row],[Pattern]]</f>
        <v>[Concentric](#concentric)</v>
      </c>
      <c r="AW26" s="6" t="str">
        <f>"X-Y: "&amp;Infill[[#This Row],[X-Y Strength Icon]]&amp;"
Z: "&amp;Infill[[#This Row],[Z Strength Icon]]</f>
        <v>X-Y: ![level-to-better-2](https://github.com/OrcaSlicer/OrcaSlicer_WIKI/blob/main/images/images/misc/level-to-better-2.svg?raw=true)
Z: ![level-to-better-4](https://github.com/OrcaSlicer/OrcaSlicer_WIKI/blob/main/images/images/misc/level-to-better-4.svg?raw=true)</v>
      </c>
      <c r="AX26" s="1" t="str">
        <f>Infill[[#This Row],[Material Usage Icon]]</f>
        <v>![level-to-worse-4](https://github.com/OrcaSlicer/OrcaSlicer_WIKI/blob/main/images/images/misc/level-to-worse-4.svg?raw=true)</v>
      </c>
      <c r="AY26" s="1" t="str">
        <f>Infill[[#This Row],[Print Time Icon]]</f>
        <v>![level-to-worse-3](https://github.com/OrcaSlicer/OrcaSlicer_WIKI/blob/main/images/images/misc/level-to-worse-3.svg?raw=true)</v>
      </c>
      <c r="AZ26" t="str">
        <f ca="1">Infill[[#This Row],[Layer time Variability]]</f>
        <v>None</v>
      </c>
      <c r="BA26" s="1" t="str">
        <f>Infill[[#This Row],[Multiline]]</f>
        <v>[Classic](strength_settings_infill#classic-strategy)</v>
      </c>
    </row>
    <row r="27" spans="2:53" ht="315" x14ac:dyDescent="0.25">
      <c r="E27">
        <v>25</v>
      </c>
      <c r="F27" t="b">
        <v>1</v>
      </c>
      <c r="G27" t="b">
        <v>1</v>
      </c>
      <c r="H27" t="b">
        <v>0</v>
      </c>
      <c r="I27" t="s">
        <v>13</v>
      </c>
      <c r="J27" t="s">
        <v>184</v>
      </c>
      <c r="K27" t="s">
        <v>105</v>
      </c>
      <c r="L27" t="s">
        <v>132</v>
      </c>
      <c r="M27" t="s">
        <v>224</v>
      </c>
      <c r="N27" s="6" t="s">
        <v>186</v>
      </c>
      <c r="O27">
        <v>2</v>
      </c>
      <c r="P27" t="str">
        <f>_xlfn.XLOOKUP(Infill[[#This Row],[XY-N]],Rating[N],Rating[Name])</f>
        <v>Low</v>
      </c>
      <c r="Q27" t="str">
        <f>_xlfn.XLOOKUP(Infill[[#This Row],[XY-N]],Rating[N],Rating[level-to-better])</f>
        <v>![level-to-better-2](https://github.com/OrcaSlicer/OrcaSlicer_WIKI/blob/main/images/images/misc/level-to-better-2.svg?raw=true)</v>
      </c>
      <c r="R27">
        <v>4</v>
      </c>
      <c r="S27" t="str">
        <f>_xlfn.XLOOKUP(Infill[[#This Row],[Z-N]],Rating[N],Rating[Name])</f>
        <v>Normal</v>
      </c>
      <c r="T27" t="str">
        <f>_xlfn.XLOOKUP(Infill[[#This Row],[Z-N]],Rating[N],Rating[level-to-better])</f>
        <v>![level-to-better-4](https://github.com/OrcaSlicer/OrcaSlicer_WIKI/blob/main/images/images/misc/level-to-better-4.svg?raw=true)</v>
      </c>
      <c r="U27" s="11">
        <f ca="1">_xlfn.XLOOKUP(Infill[[#This Row],[infill]],Tabla7[infill],Tabla7[% 2 Sigma])</f>
        <v>5.0426146631583624E-3</v>
      </c>
      <c r="V27" t="str">
        <f ca="1">_xlfn.XLOOKUP(Infill[[#This Row],[% 2 Sigma]],AbsRating[Max %],AbsRating[Name],,1)</f>
        <v>None</v>
      </c>
      <c r="W27" t="str">
        <f ca="1">_xlfn.XLOOKUP(Infill[[#This Row],[% 2 Sigma]],AbsRating[Max %],AbsRating[icon],,1)</f>
        <v>🟢</v>
      </c>
      <c r="X27" s="2" t="s">
        <v>73</v>
      </c>
      <c r="Y27">
        <f>_xlfn.XLOOKUP(Infill[[#This Row],[infill]],Tabla7[infill],Tabla7[g])</f>
        <v>149.018</v>
      </c>
      <c r="Z27" s="2">
        <f>Infill[[#This Row],[g]]/(997.25*0.15)</f>
        <v>0.99619286370853177</v>
      </c>
      <c r="AA27" s="2" t="str">
        <f>_xlfn.XLOOKUP(Infill[[#This Row],[% Effective]],Rating[Max %],Rating[Name],,1)</f>
        <v>Normal</v>
      </c>
      <c r="AB27" s="2" t="str">
        <f>_xlfn.XLOOKUP(Infill[[#This Row],[% Effective]],Rating[Max %],Rating[level-to-worse],,1)</f>
        <v>![level-to-worse-4](https://github.com/OrcaSlicer/OrcaSlicer_WIKI/blob/main/images/images/misc/level-to-worse-4.svg?raw=true)</v>
      </c>
      <c r="AC27">
        <f>_xlfn.XLOOKUP(Infill[[#This Row],[infill]],Tabla7[infill],Tabla7[Total Time])</f>
        <v>509.63600000000002</v>
      </c>
      <c r="AD27" s="2">
        <f>Infill[[#This Row],[Total Time]]/AVERAGEIFS(Infill[Total Time],Infill[Material Usage Icon],_xlfn.XLOOKUP("Normal",Rating[Name],Rating[level-to-worse]))</f>
        <v>1.6729384994721705</v>
      </c>
      <c r="AE27" s="2" t="str">
        <f>_xlfn.XLOOKUP(Infill[[#This Row],[t prom]],Rating[Max %],Rating[Name],,1)</f>
        <v>Extra-High</v>
      </c>
      <c r="AF27" s="2" t="str">
        <f>_xlfn.XLOOKUP(Infill[[#This Row],[t prom]],Rating[Max %],Rating[level-to-worse],,1)</f>
        <v>![level-to-worse-7](https://github.com/OrcaSlicer/OrcaSlicer_WIKI/blob/main/images/images/misc/level-to-worse-7.svg?raw=true)</v>
      </c>
      <c r="AG27" s="3">
        <f>Infill[[#This Row],[g]]/Infill[[#This Row],[Total Time]]</f>
        <v>0.29240085080331846</v>
      </c>
      <c r="AH27" s="2">
        <f>Infill[[#This Row],[g/t]]/AVERAGEIFS(Infill[g/t],Infill[Material Usage Icon],_xlfn.XLOOKUP("Normal",Rating[Name],Rating[level-to-worse]))</f>
        <v>0.53667424946323217</v>
      </c>
      <c r="AI27" s="2" t="str">
        <f>_xlfn.XLOOKUP(Infill[[#This Row],[g/t prom]],Rating[Max %],Rating[Name],,1)</f>
        <v>Low</v>
      </c>
      <c r="AJ27" s="1" t="str">
        <f>_xlfn.XLOOKUP(Infill[[#This Row],[g/t prom]],Rating[Max %],Rating[level-to-better],,1)</f>
        <v>![level-to-better-2](https://github.com/OrcaSlicer/OrcaSlicer_WIKI/blob/main/images/images/misc/level-to-better-2.svg?raw=true)</v>
      </c>
      <c r="AK27" s="2" t="str">
        <f>SUBSTITUTE(LOWER(Infill[[#This Row],[name]])," ","-")</f>
        <v>hilbert-curve</v>
      </c>
      <c r="AL27" t="str">
        <f>"param_"&amp;Infill[[#This Row],[infill]]</f>
        <v>param_hilbertcurve</v>
      </c>
      <c r="AM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N27" s="2" t="str">
        <f>"["&amp;Infill[[#This Row],[name]]&amp;"](#"&amp;Infill[[#This Row],[nameMD]]&amp;")"</f>
        <v>[Hilbert Curve](#hilbert-curve)</v>
      </c>
      <c r="AO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![level-to-better-2](https://github.com/OrcaSlicer/OrcaSlicer_WIKI/blob/main/images/images/misc/level-to-better-2.svg?raw=true)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Extra-High ![level-to-worse-7](https://github.com/OrcaSlicer/OrcaSlicer_WIKI/blob/main/images/images/misc/level-to-worse-7.svg?raw=true)
    - **Material/Time (Higher better):** Low ![level-to-better-2](https://github.com/OrcaSlicer/OrcaSlicer_WIKI/blob/main/images/images/misc/level-to-better-2.svg?raw=true)
    - **Layer time Variability:** None
- **Multiline:** [Classic](strength_settings_infill#classic-strategy)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Q27" t="str">
        <f>IF(OR(Infill[[#This Row],[Is Infill]],Infill[[#This Row],[Is Surface]])," { """&amp;Infill[[#This Row],[infill]]&amp;""", "&amp;Infill[[#This Row],[ip]]&amp;" },","")</f>
        <v xml:space="preserve"> { "hilbertcurve", ipHilbertCurve },</v>
      </c>
      <c r="AR27" t="str">
        <f>IF(OR(Infill[[#This Row],[Is Infill]],Infill[[#This Row],[Is Surface]]),"def-&gt;enum_values.push_back("""&amp;Infill[[#This Row],[infill]]&amp;""");","")</f>
        <v>def-&gt;enum_values.push_back("hilbertcurve");</v>
      </c>
      <c r="AS27" t="str">
        <f>IF(OR(Infill[[#This Row],[Is Infill]],Infill[[#This Row],[Is Surface]]),"def-&gt;enum_labels.push_back(L("""&amp;Infill[[#This Row],[name]]&amp;"""));","")</f>
        <v>def-&gt;enum_labels.push_back(L("Hilbert Curve"));</v>
      </c>
      <c r="AU27" t="str">
        <f>Infill[[#This Row],[SVG Link]]</f>
        <v>&lt;img alt="param_hilbertcurve" src="https://github.com/OrcaSlicer/OrcaSlicer/blob/main/resources/images/param_hilbertcurve.svg?raw=true" height="45"&gt;</v>
      </c>
      <c r="AV27" s="1" t="str">
        <f>Infill[[#This Row],[Pattern]]</f>
        <v>[Hilbert Curve](#hilbert-curve)</v>
      </c>
      <c r="AW27" s="6" t="str">
        <f>"X-Y: "&amp;Infill[[#This Row],[X-Y Strength Icon]]&amp;"
Z: "&amp;Infill[[#This Row],[Z Strength Icon]]</f>
        <v>X-Y: ![level-to-better-2](https://github.com/OrcaSlicer/OrcaSlicer_WIKI/blob/main/images/images/misc/level-to-better-2.svg?raw=true)
Z: ![level-to-better-4](https://github.com/OrcaSlicer/OrcaSlicer_WIKI/blob/main/images/images/misc/level-to-better-4.svg?raw=true)</v>
      </c>
      <c r="AX27" s="1" t="str">
        <f>Infill[[#This Row],[Material Usage Icon]]</f>
        <v>![level-to-worse-4](https://github.com/OrcaSlicer/OrcaSlicer_WIKI/blob/main/images/images/misc/level-to-worse-4.svg?raw=true)</v>
      </c>
      <c r="AY27" s="1" t="str">
        <f>Infill[[#This Row],[Print Time Icon]]</f>
        <v>![level-to-worse-7](https://github.com/OrcaSlicer/OrcaSlicer_WIKI/blob/main/images/images/misc/level-to-worse-7.svg?raw=true)</v>
      </c>
      <c r="AZ27" t="str">
        <f ca="1">Infill[[#This Row],[Layer time Variability]]</f>
        <v>None</v>
      </c>
      <c r="BA27" s="1" t="str">
        <f>Infill[[#This Row],[Multiline]]</f>
        <v>[Classic](strength_settings_infill#classic-strategy)</v>
      </c>
    </row>
    <row r="28" spans="2:53" ht="300" x14ac:dyDescent="0.25">
      <c r="E28">
        <v>26</v>
      </c>
      <c r="F28" t="b">
        <v>1</v>
      </c>
      <c r="G28" t="b">
        <v>1</v>
      </c>
      <c r="H28" t="b">
        <v>0</v>
      </c>
      <c r="I28" t="s">
        <v>14</v>
      </c>
      <c r="J28" t="s">
        <v>184</v>
      </c>
      <c r="K28" t="s">
        <v>106</v>
      </c>
      <c r="L28" t="s">
        <v>133</v>
      </c>
      <c r="M28" t="s">
        <v>224</v>
      </c>
      <c r="N28" s="6" t="s">
        <v>60</v>
      </c>
      <c r="O28">
        <v>2</v>
      </c>
      <c r="P28" t="str">
        <f>_xlfn.XLOOKUP(Infill[[#This Row],[XY-N]],Rating[N],Rating[Name])</f>
        <v>Low</v>
      </c>
      <c r="Q28" t="str">
        <f>_xlfn.XLOOKUP(Infill[[#This Row],[XY-N]],Rating[N],Rating[level-to-better])</f>
        <v>![level-to-better-2](https://github.com/OrcaSlicer/OrcaSlicer_WIKI/blob/main/images/images/misc/level-to-better-2.svg?raw=true)</v>
      </c>
      <c r="R28">
        <v>4</v>
      </c>
      <c r="S28" t="str">
        <f>_xlfn.XLOOKUP(Infill[[#This Row],[Z-N]],Rating[N],Rating[Name])</f>
        <v>Normal</v>
      </c>
      <c r="T28" t="str">
        <f>_xlfn.XLOOKUP(Infill[[#This Row],[Z-N]],Rating[N],Rating[level-to-better])</f>
        <v>![level-to-better-4](https://github.com/OrcaSlicer/OrcaSlicer_WIKI/blob/main/images/images/misc/level-to-better-4.svg?raw=true)</v>
      </c>
      <c r="U28" s="11">
        <f ca="1">_xlfn.XLOOKUP(Infill[[#This Row],[infill]],Tabla7[infill],Tabla7[% 2 Sigma])</f>
        <v>5.0911330595770909E-3</v>
      </c>
      <c r="V28" t="str">
        <f ca="1">_xlfn.XLOOKUP(Infill[[#This Row],[% 2 Sigma]],AbsRating[Max %],AbsRating[Name],,1)</f>
        <v>None</v>
      </c>
      <c r="W28" t="str">
        <f ca="1">_xlfn.XLOOKUP(Infill[[#This Row],[% 2 Sigma]],AbsRating[Max %],AbsRating[icon],,1)</f>
        <v>🟢</v>
      </c>
      <c r="X28" s="2" t="s">
        <v>73</v>
      </c>
      <c r="Y28">
        <f>_xlfn.XLOOKUP(Infill[[#This Row],[infill]],Tabla7[infill],Tabla7[g])</f>
        <v>148.822</v>
      </c>
      <c r="Z28" s="2">
        <f>Infill[[#This Row],[g]]/(997.25*0.15)</f>
        <v>0.99488259379961563</v>
      </c>
      <c r="AA28" s="2" t="str">
        <f>_xlfn.XLOOKUP(Infill[[#This Row],[% Effective]],Rating[Max %],Rating[Name],,1)</f>
        <v>Normal</v>
      </c>
      <c r="AB28" s="2" t="str">
        <f>_xlfn.XLOOKUP(Infill[[#This Row],[% Effective]],Rating[Max %],Rating[level-to-worse],,1)</f>
        <v>![level-to-worse-4](https://github.com/OrcaSlicer/OrcaSlicer_WIKI/blob/main/images/images/misc/level-to-worse-4.svg?raw=true)</v>
      </c>
      <c r="AC28">
        <f>_xlfn.XLOOKUP(Infill[[#This Row],[infill]],Tabla7[infill],Tabla7[Total Time])</f>
        <v>244.00399999999999</v>
      </c>
      <c r="AD28" s="2">
        <f>Infill[[#This Row],[Total Time]]/AVERAGEIFS(Infill[Total Time],Infill[Material Usage Icon],_xlfn.XLOOKUP("Normal",Rating[Name],Rating[level-to-worse]))</f>
        <v>0.80097105703915639</v>
      </c>
      <c r="AE28" s="2" t="str">
        <f>_xlfn.XLOOKUP(Infill[[#This Row],[t prom]],Rating[Max %],Rating[Name],,1)</f>
        <v>Normal-Low</v>
      </c>
      <c r="AF28" s="2" t="str">
        <f>_xlfn.XLOOKUP(Infill[[#This Row],[t prom]],Rating[Max %],Rating[level-to-worse],,1)</f>
        <v>![level-to-worse-3](https://github.com/OrcaSlicer/OrcaSlicer_WIKI/blob/main/images/images/misc/level-to-worse-3.svg?raw=true)</v>
      </c>
      <c r="AG28" s="3">
        <f>Infill[[#This Row],[g]]/Infill[[#This Row],[Total Time]]</f>
        <v>0.60991623088146096</v>
      </c>
      <c r="AH28" s="2">
        <f>Infill[[#This Row],[g/t]]/AVERAGEIFS(Infill[g/t],Infill[Material Usage Icon],_xlfn.XLOOKUP("Normal",Rating[Name],Rating[level-to-worse]))</f>
        <v>1.1194438543680074</v>
      </c>
      <c r="AI28" s="2" t="str">
        <f>_xlfn.XLOOKUP(Infill[[#This Row],[g/t prom]],Rating[Max %],Rating[Name],,1)</f>
        <v>Normal-High</v>
      </c>
      <c r="AJ28" s="1" t="str">
        <f>_xlfn.XLOOKUP(Infill[[#This Row],[g/t prom]],Rating[Max %],Rating[level-to-better],,1)</f>
        <v>![level-to-better-5](https://github.com/OrcaSlicer/OrcaSlicer_WIKI/blob/main/images/images/misc/level-to-better-5.svg?raw=true)</v>
      </c>
      <c r="AK28" s="2" t="str">
        <f>SUBSTITUTE(LOWER(Infill[[#This Row],[name]])," ","-")</f>
        <v>archimedean-chords</v>
      </c>
      <c r="AL28" t="str">
        <f>"param_"&amp;Infill[[#This Row],[infill]]</f>
        <v>param_archimedeanchords</v>
      </c>
      <c r="AM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N28" s="2" t="str">
        <f>"["&amp;Infill[[#This Row],[name]]&amp;"](#"&amp;Infill[[#This Row],[nameMD]]&amp;")"</f>
        <v>[Archimedean Chords](#archimedean-chords)</v>
      </c>
      <c r="AO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![level-to-better-2](https://github.com/OrcaSlicer/OrcaSlicer_WIKI/blob/main/images/images/misc/level-to-better-2.svg?raw=true)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Normal-Low ![level-to-worse-3](https://github.com/OrcaSlicer/OrcaSlicer_WIKI/blob/main/images/images/misc/level-to-worse-3.svg?raw=true)
    - **Material/Time (Higher better):** Normal-High ![level-to-better-5](https://github.com/OrcaSlicer/OrcaSlicer_WIKI/blob/main/images/images/misc/level-to-better-5.svg?raw=true)
    - **Layer time Variability:** None
- **Multiline:** [Classic](strength_settings_infill#classic-strategy)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Q28" t="str">
        <f>IF(OR(Infill[[#This Row],[Is Infill]],Infill[[#This Row],[Is Surface]])," { """&amp;Infill[[#This Row],[infill]]&amp;""", "&amp;Infill[[#This Row],[ip]]&amp;" },","")</f>
        <v xml:space="preserve"> { "archimedeanchords", ipArchimedeanChords },</v>
      </c>
      <c r="AR28" t="str">
        <f>IF(OR(Infill[[#This Row],[Is Infill]],Infill[[#This Row],[Is Surface]]),"def-&gt;enum_values.push_back("""&amp;Infill[[#This Row],[infill]]&amp;""");","")</f>
        <v>def-&gt;enum_values.push_back("archimedeanchords");</v>
      </c>
      <c r="AS28" t="str">
        <f>IF(OR(Infill[[#This Row],[Is Infill]],Infill[[#This Row],[Is Surface]]),"def-&gt;enum_labels.push_back(L("""&amp;Infill[[#This Row],[name]]&amp;"""));","")</f>
        <v>def-&gt;enum_labels.push_back(L("Archimedean Chords"));</v>
      </c>
      <c r="AU28" t="str">
        <f>Infill[[#This Row],[SVG Link]]</f>
        <v>&lt;img alt="param_archimedeanchords" src="https://github.com/OrcaSlicer/OrcaSlicer/blob/main/resources/images/param_archimedeanchords.svg?raw=true" height="45"&gt;</v>
      </c>
      <c r="AV28" s="1" t="str">
        <f>Infill[[#This Row],[Pattern]]</f>
        <v>[Archimedean Chords](#archimedean-chords)</v>
      </c>
      <c r="AW28" s="6" t="str">
        <f>"X-Y: "&amp;Infill[[#This Row],[X-Y Strength Icon]]&amp;"
Z: "&amp;Infill[[#This Row],[Z Strength Icon]]</f>
        <v>X-Y: ![level-to-better-2](https://github.com/OrcaSlicer/OrcaSlicer_WIKI/blob/main/images/images/misc/level-to-better-2.svg?raw=true)
Z: ![level-to-better-4](https://github.com/OrcaSlicer/OrcaSlicer_WIKI/blob/main/images/images/misc/level-to-better-4.svg?raw=true)</v>
      </c>
      <c r="AX28" s="1" t="str">
        <f>Infill[[#This Row],[Material Usage Icon]]</f>
        <v>![level-to-worse-4](https://github.com/OrcaSlicer/OrcaSlicer_WIKI/blob/main/images/images/misc/level-to-worse-4.svg?raw=true)</v>
      </c>
      <c r="AY28" s="1" t="str">
        <f>Infill[[#This Row],[Print Time Icon]]</f>
        <v>![level-to-worse-3](https://github.com/OrcaSlicer/OrcaSlicer_WIKI/blob/main/images/images/misc/level-to-worse-3.svg?raw=true)</v>
      </c>
      <c r="AZ28" t="str">
        <f ca="1">Infill[[#This Row],[Layer time Variability]]</f>
        <v>None</v>
      </c>
      <c r="BA28" s="1" t="str">
        <f>Infill[[#This Row],[Multiline]]</f>
        <v>[Classic](strength_settings_infill#classic-strategy)</v>
      </c>
    </row>
    <row r="29" spans="2:53" ht="300" x14ac:dyDescent="0.25">
      <c r="E29">
        <v>27</v>
      </c>
      <c r="F29" t="b">
        <v>1</v>
      </c>
      <c r="G29" t="b">
        <v>1</v>
      </c>
      <c r="H29" t="b">
        <v>0</v>
      </c>
      <c r="I29" t="s">
        <v>15</v>
      </c>
      <c r="J29" t="s">
        <v>184</v>
      </c>
      <c r="K29" t="s">
        <v>107</v>
      </c>
      <c r="L29" t="s">
        <v>134</v>
      </c>
      <c r="M29" t="s">
        <v>224</v>
      </c>
      <c r="N29" s="6" t="s">
        <v>185</v>
      </c>
      <c r="O29">
        <v>2</v>
      </c>
      <c r="P29" t="str">
        <f>_xlfn.XLOOKUP(Infill[[#This Row],[XY-N]],Rating[N],Rating[Name])</f>
        <v>Low</v>
      </c>
      <c r="Q29" t="str">
        <f>_xlfn.XLOOKUP(Infill[[#This Row],[XY-N]],Rating[N],Rating[level-to-better])</f>
        <v>![level-to-better-2](https://github.com/OrcaSlicer/OrcaSlicer_WIKI/blob/main/images/images/misc/level-to-better-2.svg?raw=true)</v>
      </c>
      <c r="R29">
        <v>4</v>
      </c>
      <c r="S29" t="str">
        <f>_xlfn.XLOOKUP(Infill[[#This Row],[Z-N]],Rating[N],Rating[Name])</f>
        <v>Normal</v>
      </c>
      <c r="T29" t="str">
        <f>_xlfn.XLOOKUP(Infill[[#This Row],[Z-N]],Rating[N],Rating[level-to-better])</f>
        <v>![level-to-better-4](https://github.com/OrcaSlicer/OrcaSlicer_WIKI/blob/main/images/images/misc/level-to-better-4.svg?raw=true)</v>
      </c>
      <c r="U29" s="11">
        <f ca="1">_xlfn.XLOOKUP(Infill[[#This Row],[infill]],Tabla7[infill],Tabla7[% 2 Sigma])</f>
        <v>7.1326270107181511E-3</v>
      </c>
      <c r="V29" t="str">
        <f ca="1">_xlfn.XLOOKUP(Infill[[#This Row],[% 2 Sigma]],AbsRating[Max %],AbsRating[Name],,1)</f>
        <v>None</v>
      </c>
      <c r="W29" t="str">
        <f ca="1">_xlfn.XLOOKUP(Infill[[#This Row],[% 2 Sigma]],AbsRating[Max %],AbsRating[icon],,1)</f>
        <v>🟢</v>
      </c>
      <c r="X29" s="2" t="s">
        <v>73</v>
      </c>
      <c r="Y29">
        <f>_xlfn.XLOOKUP(Infill[[#This Row],[infill]],Tabla7[infill],Tabla7[g])</f>
        <v>148.61600000000001</v>
      </c>
      <c r="Z29" s="2">
        <f>Infill[[#This Row],[g]]/(997.25*0.15)</f>
        <v>0.9935054733851425</v>
      </c>
      <c r="AA29" s="2" t="str">
        <f>_xlfn.XLOOKUP(Infill[[#This Row],[% Effective]],Rating[Max %],Rating[Name],,1)</f>
        <v>Normal</v>
      </c>
      <c r="AB29" s="2" t="str">
        <f>_xlfn.XLOOKUP(Infill[[#This Row],[% Effective]],Rating[Max %],Rating[level-to-worse],,1)</f>
        <v>![level-to-worse-4](https://github.com/OrcaSlicer/OrcaSlicer_WIKI/blob/main/images/images/misc/level-to-worse-4.svg?raw=true)</v>
      </c>
      <c r="AC29">
        <f>_xlfn.XLOOKUP(Infill[[#This Row],[infill]],Tabla7[infill],Tabla7[Total Time])</f>
        <v>283.7</v>
      </c>
      <c r="AD29" s="2">
        <f>Infill[[#This Row],[Total Time]]/AVERAGEIFS(Infill[Total Time],Infill[Material Usage Icon],_xlfn.XLOOKUP("Normal",Rating[Name],Rating[level-to-worse]))</f>
        <v>0.93127772037347201</v>
      </c>
      <c r="AE29" s="2" t="str">
        <f>_xlfn.XLOOKUP(Infill[[#This Row],[t prom]],Rating[Max %],Rating[Name],,1)</f>
        <v>Normal</v>
      </c>
      <c r="AF29" s="2" t="str">
        <f>_xlfn.XLOOKUP(Infill[[#This Row],[t prom]],Rating[Max %],Rating[level-to-worse],,1)</f>
        <v>![level-to-worse-4](https://github.com/OrcaSlicer/OrcaSlicer_WIKI/blob/main/images/images/misc/level-to-worse-4.svg?raw=true)</v>
      </c>
      <c r="AG29" s="3">
        <f>Infill[[#This Row],[g]]/Infill[[#This Row],[Total Time]]</f>
        <v>0.52384913641170261</v>
      </c>
      <c r="AH29" s="2">
        <f>Infill[[#This Row],[g/t]]/AVERAGEIFS(Infill[g/t],Infill[Material Usage Icon],_xlfn.XLOOKUP("Normal",Rating[Name],Rating[level-to-worse]))</f>
        <v>0.96147580057767135</v>
      </c>
      <c r="AI29" s="2" t="str">
        <f>_xlfn.XLOOKUP(Infill[[#This Row],[g/t prom]],Rating[Max %],Rating[Name],,1)</f>
        <v>Normal</v>
      </c>
      <c r="AJ29" s="1" t="str">
        <f>_xlfn.XLOOKUP(Infill[[#This Row],[g/t prom]],Rating[Max %],Rating[level-to-better],,1)</f>
        <v>![level-to-better-4](https://github.com/OrcaSlicer/OrcaSlicer_WIKI/blob/main/images/images/misc/level-to-better-4.svg?raw=true)</v>
      </c>
      <c r="AK29" s="2" t="str">
        <f>SUBSTITUTE(LOWER(Infill[[#This Row],[name]])," ","-")</f>
        <v>octagram-spiral</v>
      </c>
      <c r="AL29" t="str">
        <f>"param_"&amp;Infill[[#This Row],[infill]]</f>
        <v>param_octagramspiral</v>
      </c>
      <c r="AM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N29" s="2" t="str">
        <f>"["&amp;Infill[[#This Row],[name]]&amp;"](#"&amp;Infill[[#This Row],[nameMD]]&amp;")"</f>
        <v>[Octagram Spiral](#octagram-spiral)</v>
      </c>
      <c r="AO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P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![level-to-better-2](https://github.com/OrcaSlicer/OrcaSlicer_WIKI/blob/main/images/images/misc/level-to-better-2.svg?raw=true)
  - **Vertical (Z):** Normal ![level-to-better-4](https://github.com/OrcaSlicer/OrcaSlicer_WIKI/blob/main/images/images/misc/level-to-better-4.svg?raw=true)
- **Density Calculation:**  % of  total infill volume
  - **Material Usage:** Normal ![level-to-worse-4](https://github.com/OrcaSlicer/OrcaSlicer_WIKI/blob/main/images/images/misc/level-to-worse-4.svg?raw=true)
  - **Print Time:** Normal ![level-to-worse-4](https://github.com/OrcaSlicer/OrcaSlicer_WIKI/blob/main/images/images/misc/level-to-worse-4.svg?raw=true)
    - **Material/Time (Higher better):** Normal ![level-to-better-4](https://github.com/OrcaSlicer/OrcaSlicer_WIKI/blob/main/images/images/misc/level-to-better-4.svg?raw=true)
    - **Layer time Variability:** None
- **Multiline:** [Classic](strength_settings_infill#classic-strategy)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Q29" t="str">
        <f>IF(OR(Infill[[#This Row],[Is Infill]],Infill[[#This Row],[Is Surface]])," { """&amp;Infill[[#This Row],[infill]]&amp;""", "&amp;Infill[[#This Row],[ip]]&amp;" },","")</f>
        <v xml:space="preserve"> { "octagramspiral", ipOctagramSpiral },</v>
      </c>
      <c r="AR29" t="str">
        <f>IF(OR(Infill[[#This Row],[Is Infill]],Infill[[#This Row],[Is Surface]]),"def-&gt;enum_values.push_back("""&amp;Infill[[#This Row],[infill]]&amp;""");","")</f>
        <v>def-&gt;enum_values.push_back("octagramspiral");</v>
      </c>
      <c r="AS29" t="str">
        <f>IF(OR(Infill[[#This Row],[Is Infill]],Infill[[#This Row],[Is Surface]]),"def-&gt;enum_labels.push_back(L("""&amp;Infill[[#This Row],[name]]&amp;"""));","")</f>
        <v>def-&gt;enum_labels.push_back(L("Octagram Spiral"));</v>
      </c>
      <c r="AU29" t="str">
        <f>Infill[[#This Row],[SVG Link]]</f>
        <v>&lt;img alt="param_octagramspiral" src="https://github.com/OrcaSlicer/OrcaSlicer/blob/main/resources/images/param_octagramspiral.svg?raw=true" height="45"&gt;</v>
      </c>
      <c r="AV29" s="1" t="str">
        <f>Infill[[#This Row],[Pattern]]</f>
        <v>[Octagram Spiral](#octagram-spiral)</v>
      </c>
      <c r="AW29" s="6" t="str">
        <f>"X-Y: "&amp;Infill[[#This Row],[X-Y Strength Icon]]&amp;"
Z: "&amp;Infill[[#This Row],[Z Strength Icon]]</f>
        <v>X-Y: ![level-to-better-2](https://github.com/OrcaSlicer/OrcaSlicer_WIKI/blob/main/images/images/misc/level-to-better-2.svg?raw=true)
Z: ![level-to-better-4](https://github.com/OrcaSlicer/OrcaSlicer_WIKI/blob/main/images/images/misc/level-to-better-4.svg?raw=true)</v>
      </c>
      <c r="AX29" s="1" t="str">
        <f>Infill[[#This Row],[Material Usage Icon]]</f>
        <v>![level-to-worse-4](https://github.com/OrcaSlicer/OrcaSlicer_WIKI/blob/main/images/images/misc/level-to-worse-4.svg?raw=true)</v>
      </c>
      <c r="AY29" s="1" t="str">
        <f>Infill[[#This Row],[Print Time Icon]]</f>
        <v>![level-to-worse-4](https://github.com/OrcaSlicer/OrcaSlicer_WIKI/blob/main/images/images/misc/level-to-worse-4.svg?raw=true)</v>
      </c>
      <c r="AZ29" t="str">
        <f ca="1">Infill[[#This Row],[Layer time Variability]]</f>
        <v>None</v>
      </c>
      <c r="BA29" s="1" t="str">
        <f>Infill[[#This Row],[Multiline]]</f>
        <v>[Classic](strength_settings_infill#classic-strategy)</v>
      </c>
    </row>
    <row r="30" spans="2:53" x14ac:dyDescent="0.25">
      <c r="E30">
        <v>28</v>
      </c>
      <c r="F30" t="b">
        <v>0</v>
      </c>
      <c r="G30" t="b">
        <v>0</v>
      </c>
      <c r="H30" t="b">
        <v>0</v>
      </c>
      <c r="K30" t="s">
        <v>109</v>
      </c>
      <c r="M30" t="s">
        <v>222</v>
      </c>
      <c r="N30" s="8"/>
      <c r="P30" t="e">
        <f>_xlfn.XLOOKUP(Infill[[#This Row],[XY-N]],Rating[N],Rating[Name])</f>
        <v>#N/A</v>
      </c>
      <c r="Q30" t="e">
        <f>_xlfn.XLOOKUP(Infill[[#This Row],[XY-N]],Rating[N],Rating[level-to-better])</f>
        <v>#N/A</v>
      </c>
      <c r="S30" t="e">
        <f>_xlfn.XLOOKUP(Infill[[#This Row],[Z-N]],Rating[N],Rating[Name])</f>
        <v>#N/A</v>
      </c>
      <c r="T30" t="e">
        <f>_xlfn.XLOOKUP(Infill[[#This Row],[Z-N]],Rating[N],Rating[level-to-better])</f>
        <v>#N/A</v>
      </c>
      <c r="U30" s="11" t="e">
        <f>_xlfn.XLOOKUP(Infill[[#This Row],[infill]],Tabla7[infill],Tabla7[% 2 Sigma])</f>
        <v>#N/A</v>
      </c>
      <c r="V30" t="e">
        <f>_xlfn.XLOOKUP(Infill[[#This Row],[% 2 Sigma]],AbsRating[Max %],AbsRating[Name],,1)</f>
        <v>#N/A</v>
      </c>
      <c r="W30" t="e">
        <f>_xlfn.XLOOKUP(Infill[[#This Row],[% 2 Sigma]],AbsRating[Max %],AbsRating[icon],,1)</f>
        <v>#N/A</v>
      </c>
      <c r="X30" s="2"/>
      <c r="Y30" t="e">
        <f>_xlfn.XLOOKUP(Infill[[#This Row],[infill]],Tabla7[infill],Tabla7[g])</f>
        <v>#N/A</v>
      </c>
      <c r="Z30" s="2" t="e">
        <f>Infill[[#This Row],[g]]/(997.25*0.15)</f>
        <v>#N/A</v>
      </c>
      <c r="AA30" s="2" t="e">
        <f>_xlfn.XLOOKUP(Infill[[#This Row],[% Effective]],Rating[Max %],Rating[Name],,1)</f>
        <v>#N/A</v>
      </c>
      <c r="AB30" s="2" t="e">
        <f>_xlfn.XLOOKUP(Infill[[#This Row],[% Effective]],Rating[Max %],Rating[level-to-worse],,1)</f>
        <v>#N/A</v>
      </c>
      <c r="AC30" t="e">
        <f>_xlfn.XLOOKUP(Infill[[#This Row],[infill]],Tabla7[infill],Tabla7[Total Time])</f>
        <v>#N/A</v>
      </c>
      <c r="AD30" s="2" t="e">
        <f>Infill[[#This Row],[Total Time]]/AVERAGEIFS(Infill[Total Time],Infill[Material Usage Icon],_xlfn.XLOOKUP("Normal",Rating[Name],Rating[level-to-worse]))</f>
        <v>#N/A</v>
      </c>
      <c r="AE30" s="2" t="e">
        <f>_xlfn.XLOOKUP(Infill[[#This Row],[t prom]],Rating[Max %],Rating[Name],,1)</f>
        <v>#N/A</v>
      </c>
      <c r="AF30" s="2" t="e">
        <f>_xlfn.XLOOKUP(Infill[[#This Row],[t prom]],Rating[Max %],Rating[level-to-worse],,1)</f>
        <v>#N/A</v>
      </c>
      <c r="AG30" s="3" t="e">
        <f>Infill[[#This Row],[g]]/Infill[[#This Row],[Total Time]]</f>
        <v>#N/A</v>
      </c>
      <c r="AH30" s="2" t="e">
        <f>Infill[[#This Row],[g/t]]/AVERAGEIFS(Infill[g/t],Infill[Material Usage Icon],_xlfn.XLOOKUP("Normal",Rating[Name],Rating[level-to-worse]))</f>
        <v>#N/A</v>
      </c>
      <c r="AI30" s="2" t="e">
        <f>_xlfn.XLOOKUP(Infill[[#This Row],[g/t prom]],Rating[Max %],Rating[Name],,1)</f>
        <v>#N/A</v>
      </c>
      <c r="AJ30" s="2" t="e">
        <f>_xlfn.XLOOKUP(Infill[[#This Row],[g/t prom]],Rating[Max %],Rating[level-to-better],,1)</f>
        <v>#N/A</v>
      </c>
      <c r="AK30" s="2" t="str">
        <f>SUBSTITUTE(LOWER(Infill[[#This Row],[name]])," ","-")</f>
        <v/>
      </c>
      <c r="AM30" t="str">
        <f>"&lt;img alt=""" &amp; Infill[[#This Row],[SVG]] &amp; """ src=""https://github.com/OrcaSlicer/OrcaSlicer/blob/main/resources/images/" &amp; Infill[[#This Row],[SVG]] &amp; ".svg?raw=true"" height=""45""&gt;"</f>
        <v>&lt;img alt="" src="https://github.com/OrcaSlicer/OrcaSlicer/blob/main/resources/images/.svg?raw=true" height="45"&gt;</v>
      </c>
      <c r="AN30" s="2" t="str">
        <f>"["&amp;Infill[[#This Row],[name]]&amp;"](#"&amp;Infill[[#This Row],[nameMD]]&amp;")"</f>
        <v>[](#)</v>
      </c>
      <c r="AO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0" t="str">
        <f>IF(OR(Infill[[#This Row],[Is Infill]],Infill[[#This Row],[Is Surface]])," { """&amp;Infill[[#This Row],[infill]]&amp;""", "&amp;Infill[[#This Row],[ip]]&amp;" },","")</f>
        <v/>
      </c>
      <c r="AR30" t="str">
        <f>IF(OR(Infill[[#This Row],[Is Infill]],Infill[[#This Row],[Is Surface]]),"def-&gt;enum_values.push_back("""&amp;Infill[[#This Row],[infill]]&amp;""");","")</f>
        <v/>
      </c>
      <c r="AS30" t="str">
        <f>IF(OR(Infill[[#This Row],[Is Infill]],Infill[[#This Row],[Is Surface]]),"def-&gt;enum_labels.push_back(L("""&amp;Infill[[#This Row],[name]]&amp;"""));","")</f>
        <v/>
      </c>
      <c r="AU30" t="str">
        <f>Infill[[#This Row],[SVG Link]]</f>
        <v>&lt;img alt="" src="https://github.com/OrcaSlicer/OrcaSlicer/blob/main/resources/images/.svg?raw=true" height="45"&gt;</v>
      </c>
      <c r="AV30" s="1" t="str">
        <f>Infill[[#This Row],[Pattern]]</f>
        <v>[](#)</v>
      </c>
      <c r="AW30" s="6" t="e">
        <f>"X-Y: "&amp;Infill[[#This Row],[X-Y Strength Icon]]&amp;"
Z: "&amp;Infill[[#This Row],[Z Strength Icon]]</f>
        <v>#N/A</v>
      </c>
      <c r="AX30" s="1" t="e">
        <f>Infill[[#This Row],[Material Usage Icon]]</f>
        <v>#N/A</v>
      </c>
      <c r="AY30" s="1" t="e">
        <f>Infill[[#This Row],[Print Time Icon]]</f>
        <v>#N/A</v>
      </c>
      <c r="AZ30" t="e">
        <f>Infill[[#This Row],[Layer time Variability]]</f>
        <v>#N/A</v>
      </c>
      <c r="BA30" s="1" t="str">
        <f>Infill[[#This Row],[Multiline]]</f>
        <v>N/A</v>
      </c>
    </row>
    <row r="31" spans="2:53" x14ac:dyDescent="0.25">
      <c r="E31">
        <v>29</v>
      </c>
      <c r="F31" t="b">
        <v>0</v>
      </c>
      <c r="G31" t="b">
        <v>0</v>
      </c>
      <c r="H31" t="b">
        <v>0</v>
      </c>
      <c r="K31" t="s">
        <v>110</v>
      </c>
      <c r="M31" t="s">
        <v>222</v>
      </c>
      <c r="N31" s="8"/>
      <c r="P31" t="e">
        <f>_xlfn.XLOOKUP(Infill[[#This Row],[XY-N]],Rating[N],Rating[Name])</f>
        <v>#N/A</v>
      </c>
      <c r="Q31" t="e">
        <f>_xlfn.XLOOKUP(Infill[[#This Row],[XY-N]],Rating[N],Rating[level-to-better])</f>
        <v>#N/A</v>
      </c>
      <c r="S31" t="e">
        <f>_xlfn.XLOOKUP(Infill[[#This Row],[Z-N]],Rating[N],Rating[Name])</f>
        <v>#N/A</v>
      </c>
      <c r="T31" t="e">
        <f>_xlfn.XLOOKUP(Infill[[#This Row],[Z-N]],Rating[N],Rating[level-to-better])</f>
        <v>#N/A</v>
      </c>
      <c r="U31" s="11" t="e">
        <f>_xlfn.XLOOKUP(Infill[[#This Row],[infill]],Tabla7[infill],Tabla7[% 2 Sigma])</f>
        <v>#N/A</v>
      </c>
      <c r="V31" t="e">
        <f>_xlfn.XLOOKUP(Infill[[#This Row],[% 2 Sigma]],AbsRating[Max %],AbsRating[Name],,1)</f>
        <v>#N/A</v>
      </c>
      <c r="W31" t="e">
        <f>_xlfn.XLOOKUP(Infill[[#This Row],[% 2 Sigma]],AbsRating[Max %],AbsRating[icon],,1)</f>
        <v>#N/A</v>
      </c>
      <c r="X31" s="2"/>
      <c r="Y31" t="e">
        <f>_xlfn.XLOOKUP(Infill[[#This Row],[infill]],Tabla7[infill],Tabla7[g])</f>
        <v>#N/A</v>
      </c>
      <c r="Z31" s="2" t="e">
        <f>Infill[[#This Row],[g]]/(997.25*0.15)</f>
        <v>#N/A</v>
      </c>
      <c r="AA31" s="2" t="e">
        <f>_xlfn.XLOOKUP(Infill[[#This Row],[% Effective]],Rating[Max %],Rating[Name],,1)</f>
        <v>#N/A</v>
      </c>
      <c r="AB31" s="2" t="e">
        <f>_xlfn.XLOOKUP(Infill[[#This Row],[% Effective]],Rating[Max %],Rating[level-to-worse],,1)</f>
        <v>#N/A</v>
      </c>
      <c r="AC31" t="e">
        <f>_xlfn.XLOOKUP(Infill[[#This Row],[infill]],Tabla7[infill],Tabla7[Total Time])</f>
        <v>#N/A</v>
      </c>
      <c r="AD31" s="2" t="e">
        <f>Infill[[#This Row],[Total Time]]/AVERAGEIFS(Infill[Total Time],Infill[Material Usage Icon],_xlfn.XLOOKUP("Normal",Rating[Name],Rating[level-to-worse]))</f>
        <v>#N/A</v>
      </c>
      <c r="AE31" s="2" t="e">
        <f>_xlfn.XLOOKUP(Infill[[#This Row],[t prom]],Rating[Max %],Rating[Name],,1)</f>
        <v>#N/A</v>
      </c>
      <c r="AF31" s="2" t="e">
        <f>_xlfn.XLOOKUP(Infill[[#This Row],[t prom]],Rating[Max %],Rating[level-to-worse],,1)</f>
        <v>#N/A</v>
      </c>
      <c r="AG31" s="3" t="e">
        <f>Infill[[#This Row],[g]]/Infill[[#This Row],[Total Time]]</f>
        <v>#N/A</v>
      </c>
      <c r="AH31" s="2" t="e">
        <f>Infill[[#This Row],[g/t]]/AVERAGEIFS(Infill[g/t],Infill[Material Usage Icon],_xlfn.XLOOKUP("Normal",Rating[Name],Rating[level-to-worse]))</f>
        <v>#N/A</v>
      </c>
      <c r="AI31" s="2" t="e">
        <f>_xlfn.XLOOKUP(Infill[[#This Row],[g/t prom]],Rating[Max %],Rating[Name],,1)</f>
        <v>#N/A</v>
      </c>
      <c r="AJ31" s="2" t="e">
        <f>_xlfn.XLOOKUP(Infill[[#This Row],[g/t prom]],Rating[Max %],Rating[level-to-better],,1)</f>
        <v>#N/A</v>
      </c>
      <c r="AK31" s="2" t="str">
        <f>SUBSTITUTE(LOWER(Infill[[#This Row],[name]])," ","-")</f>
        <v/>
      </c>
      <c r="AM31" t="str">
        <f>"&lt;img alt=""" &amp; Infill[[#This Row],[SVG]] &amp; """ src=""https://github.com/OrcaSlicer/OrcaSlicer/blob/main/resources/images/" &amp; Infill[[#This Row],[SVG]] &amp; ".svg?raw=true"" height=""45""&gt;"</f>
        <v>&lt;img alt="" src="https://github.com/OrcaSlicer/OrcaSlicer/blob/main/resources/images/.svg?raw=true" height="45"&gt;</v>
      </c>
      <c r="AN31" s="2" t="str">
        <f>"["&amp;Infill[[#This Row],[name]]&amp;"](#"&amp;Infill[[#This Row],[nameMD]]&amp;")"</f>
        <v>[](#)</v>
      </c>
      <c r="AO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1" t="str">
        <f>IF(OR(Infill[[#This Row],[Is Infill]],Infill[[#This Row],[Is Surface]])," { """&amp;Infill[[#This Row],[infill]]&amp;""", "&amp;Infill[[#This Row],[ip]]&amp;" },","")</f>
        <v/>
      </c>
      <c r="AR31" t="str">
        <f>IF(OR(Infill[[#This Row],[Is Infill]],Infill[[#This Row],[Is Surface]]),"def-&gt;enum_values.push_back("""&amp;Infill[[#This Row],[infill]]&amp;""");","")</f>
        <v/>
      </c>
      <c r="AS31" t="str">
        <f>IF(OR(Infill[[#This Row],[Is Infill]],Infill[[#This Row],[Is Surface]]),"def-&gt;enum_labels.push_back(L("""&amp;Infill[[#This Row],[name]]&amp;"""));","")</f>
        <v/>
      </c>
      <c r="AU31" t="str">
        <f>Infill[[#This Row],[SVG Link]]</f>
        <v>&lt;img alt="" src="https://github.com/OrcaSlicer/OrcaSlicer/blob/main/resources/images/.svg?raw=true" height="45"&gt;</v>
      </c>
      <c r="AV31" s="1" t="str">
        <f>Infill[[#This Row],[Pattern]]</f>
        <v>[](#)</v>
      </c>
      <c r="AW31" s="6" t="e">
        <f>"X-Y: "&amp;Infill[[#This Row],[X-Y Strength Icon]]&amp;"
Z: "&amp;Infill[[#This Row],[Z Strength Icon]]</f>
        <v>#N/A</v>
      </c>
      <c r="AX31" s="1" t="e">
        <f>Infill[[#This Row],[Material Usage Icon]]</f>
        <v>#N/A</v>
      </c>
      <c r="AY31" s="1" t="e">
        <f>Infill[[#This Row],[Print Time Icon]]</f>
        <v>#N/A</v>
      </c>
      <c r="AZ31" t="e">
        <f>Infill[[#This Row],[Layer time Variability]]</f>
        <v>#N/A</v>
      </c>
      <c r="BA31" s="1" t="str">
        <f>Infill[[#This Row],[Multiline]]</f>
        <v>N/A</v>
      </c>
    </row>
    <row r="32" spans="2:53" x14ac:dyDescent="0.25">
      <c r="B32" s="2"/>
      <c r="E32">
        <v>30</v>
      </c>
      <c r="F32" t="b">
        <v>0</v>
      </c>
      <c r="G32" t="b">
        <v>0</v>
      </c>
      <c r="H32" t="b">
        <v>0</v>
      </c>
      <c r="K32" t="s">
        <v>117</v>
      </c>
      <c r="M32" t="s">
        <v>222</v>
      </c>
      <c r="N32" s="8"/>
      <c r="P32" t="e">
        <f>_xlfn.XLOOKUP(Infill[[#This Row],[XY-N]],Rating[N],Rating[Name])</f>
        <v>#N/A</v>
      </c>
      <c r="Q32" t="e">
        <f>_xlfn.XLOOKUP(Infill[[#This Row],[XY-N]],Rating[N],Rating[level-to-better])</f>
        <v>#N/A</v>
      </c>
      <c r="S32" t="e">
        <f>_xlfn.XLOOKUP(Infill[[#This Row],[Z-N]],Rating[N],Rating[Name])</f>
        <v>#N/A</v>
      </c>
      <c r="T32" t="e">
        <f>_xlfn.XLOOKUP(Infill[[#This Row],[Z-N]],Rating[N],Rating[level-to-better])</f>
        <v>#N/A</v>
      </c>
      <c r="U32" s="11" t="e">
        <f>_xlfn.XLOOKUP(Infill[[#This Row],[infill]],Tabla7[infill],Tabla7[% 2 Sigma])</f>
        <v>#N/A</v>
      </c>
      <c r="V32" t="e">
        <f>_xlfn.XLOOKUP(Infill[[#This Row],[% 2 Sigma]],AbsRating[Max %],AbsRating[Name],,1)</f>
        <v>#N/A</v>
      </c>
      <c r="W32" t="e">
        <f>_xlfn.XLOOKUP(Infill[[#This Row],[% 2 Sigma]],AbsRating[Max %],AbsRating[icon],,1)</f>
        <v>#N/A</v>
      </c>
      <c r="X32" s="2"/>
      <c r="Y32" t="e">
        <f>_xlfn.XLOOKUP(Infill[[#This Row],[infill]],Tabla7[infill],Tabla7[g])</f>
        <v>#N/A</v>
      </c>
      <c r="Z32" s="2" t="e">
        <f>Infill[[#This Row],[g]]/(997.25*0.15)</f>
        <v>#N/A</v>
      </c>
      <c r="AA32" s="2" t="e">
        <f>_xlfn.XLOOKUP(Infill[[#This Row],[% Effective]],Rating[Max %],Rating[Name],,1)</f>
        <v>#N/A</v>
      </c>
      <c r="AB32" s="2" t="e">
        <f>_xlfn.XLOOKUP(Infill[[#This Row],[% Effective]],Rating[Max %],Rating[level-to-worse],,1)</f>
        <v>#N/A</v>
      </c>
      <c r="AC32" t="e">
        <f>_xlfn.XLOOKUP(Infill[[#This Row],[infill]],Tabla7[infill],Tabla7[Total Time])</f>
        <v>#N/A</v>
      </c>
      <c r="AD32" s="2" t="e">
        <f>Infill[[#This Row],[Total Time]]/AVERAGEIFS(Infill[Total Time],Infill[Material Usage Icon],_xlfn.XLOOKUP("Normal",Rating[Name],Rating[level-to-worse]))</f>
        <v>#N/A</v>
      </c>
      <c r="AE32" s="2" t="e">
        <f>_xlfn.XLOOKUP(Infill[[#This Row],[t prom]],Rating[Max %],Rating[Name],,1)</f>
        <v>#N/A</v>
      </c>
      <c r="AF32" s="2" t="e">
        <f>_xlfn.XLOOKUP(Infill[[#This Row],[t prom]],Rating[Max %],Rating[level-to-worse],,1)</f>
        <v>#N/A</v>
      </c>
      <c r="AG32" s="3" t="e">
        <f>Infill[[#This Row],[g]]/Infill[[#This Row],[Total Time]]</f>
        <v>#N/A</v>
      </c>
      <c r="AH32" s="2" t="e">
        <f>Infill[[#This Row],[g/t]]/AVERAGEIFS(Infill[g/t],Infill[Material Usage Icon],_xlfn.XLOOKUP("Normal",Rating[Name],Rating[level-to-worse]))</f>
        <v>#N/A</v>
      </c>
      <c r="AI32" s="2" t="e">
        <f>_xlfn.XLOOKUP(Infill[[#This Row],[g/t prom]],Rating[Max %],Rating[Name],,1)</f>
        <v>#N/A</v>
      </c>
      <c r="AJ32" s="2" t="e">
        <f>_xlfn.XLOOKUP(Infill[[#This Row],[g/t prom]],Rating[Max %],Rating[level-to-better],,1)</f>
        <v>#N/A</v>
      </c>
      <c r="AK32" s="2" t="str">
        <f>SUBSTITUTE(LOWER(Infill[[#This Row],[name]])," ","-")</f>
        <v/>
      </c>
      <c r="AM32" t="str">
        <f>"&lt;img alt=""" &amp; Infill[[#This Row],[SVG]] &amp; """ src=""https://github.com/OrcaSlicer/OrcaSlicer/blob/main/resources/images/" &amp; Infill[[#This Row],[SVG]] &amp; ".svg?raw=true"" height=""45""&gt;"</f>
        <v>&lt;img alt="" src="https://github.com/OrcaSlicer/OrcaSlicer/blob/main/resources/images/.svg?raw=true" height="45"&gt;</v>
      </c>
      <c r="AN32" s="2" t="str">
        <f>"["&amp;Infill[[#This Row],[name]]&amp;"](#"&amp;Infill[[#This Row],[nameMD]]&amp;")"</f>
        <v>[](#)</v>
      </c>
      <c r="AO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P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**Multiline:** "&amp;Infill[[#This Row],[Multiline]]&amp;"
- **Applies to:**"&amp;Infill[[#This Row],[Applies to]]&amp;"
![infill-top-"&amp;Infill[[#This Row],[nameMD]]&amp;"](https://github.com/OrcaSlicer/OrcaSlicer_WIKI/blob/main/images/fill/infill-top-"&amp;Infill[[#This Row],[nameMD]]&amp;".png?raw=true)
","")</f>
        <v/>
      </c>
      <c r="AQ32" t="str">
        <f>IF(OR(Infill[[#This Row],[Is Infill]],Infill[[#This Row],[Is Surface]])," { """&amp;Infill[[#This Row],[infill]]&amp;""", "&amp;Infill[[#This Row],[ip]]&amp;" },","")</f>
        <v/>
      </c>
      <c r="AR32" t="str">
        <f>IF(OR(Infill[[#This Row],[Is Infill]],Infill[[#This Row],[Is Surface]]),"def-&gt;enum_values.push_back("""&amp;Infill[[#This Row],[infill]]&amp;""");","")</f>
        <v/>
      </c>
      <c r="AS32" t="str">
        <f>IF(OR(Infill[[#This Row],[Is Infill]],Infill[[#This Row],[Is Surface]]),"def-&gt;enum_labels.push_back(L("""&amp;Infill[[#This Row],[name]]&amp;"""));","")</f>
        <v/>
      </c>
      <c r="AU32" t="str">
        <f>Infill[[#This Row],[SVG Link]]</f>
        <v>&lt;img alt="" src="https://github.com/OrcaSlicer/OrcaSlicer/blob/main/resources/images/.svg?raw=true" height="45"&gt;</v>
      </c>
      <c r="AV32" s="1" t="str">
        <f>Infill[[#This Row],[Pattern]]</f>
        <v>[](#)</v>
      </c>
      <c r="AW32" s="6" t="e">
        <f>"X-Y: "&amp;Infill[[#This Row],[X-Y Strength Icon]]&amp;"
Z: "&amp;Infill[[#This Row],[Z Strength Icon]]</f>
        <v>#N/A</v>
      </c>
      <c r="AX32" s="1" t="e">
        <f>Infill[[#This Row],[Material Usage Icon]]</f>
        <v>#N/A</v>
      </c>
      <c r="AY32" s="1" t="e">
        <f>Infill[[#This Row],[Print Time Icon]]</f>
        <v>#N/A</v>
      </c>
      <c r="AZ32" t="e">
        <f>Infill[[#This Row],[Layer time Variability]]</f>
        <v>#N/A</v>
      </c>
      <c r="BA32" s="1" t="str">
        <f>Infill[[#This Row],[Multiline]]</f>
        <v>N/A</v>
      </c>
    </row>
    <row r="33" spans="2:2" x14ac:dyDescent="0.25">
      <c r="B33" s="2"/>
    </row>
    <row r="34" spans="2:2" x14ac:dyDescent="0.25">
      <c r="B34" s="2"/>
    </row>
    <row r="35" spans="2:2" x14ac:dyDescent="0.25">
      <c r="B35" s="2"/>
    </row>
    <row r="36" spans="2:2" x14ac:dyDescent="0.25">
      <c r="B36" s="2"/>
    </row>
  </sheetData>
  <phoneticPr fontId="2" type="noConversion"/>
  <conditionalFormatting sqref="Z2:AA32">
    <cfRule type="colorScale" priority="80">
      <colorScale>
        <cfvo type="min"/>
        <cfvo type="percentile" val="50"/>
        <cfvo type="max"/>
        <color rgb="FFF8696B"/>
        <color rgb="FFFFEB84"/>
        <color rgb="FF63BE7B"/>
      </colorScale>
    </cfRule>
  </conditionalFormatting>
  <conditionalFormatting sqref="AD2:AE32">
    <cfRule type="colorScale" priority="82">
      <colorScale>
        <cfvo type="min"/>
        <cfvo type="percentile" val="50"/>
        <cfvo type="max"/>
        <color rgb="FF63BE7B"/>
        <color rgb="FFFFEB84"/>
        <color rgb="FFF8696B"/>
      </colorScale>
    </cfRule>
  </conditionalFormatting>
  <conditionalFormatting sqref="AG2:AG32">
    <cfRule type="colorScale" priority="84">
      <colorScale>
        <cfvo type="min"/>
        <cfvo type="percentile" val="50"/>
        <cfvo type="max"/>
        <color rgb="FFF8696B"/>
        <color rgb="FFFFEB84"/>
        <color rgb="FF63BE7B"/>
      </colorScale>
    </cfRule>
  </conditionalFormatting>
  <conditionalFormatting sqref="AH2:AI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T29"/>
  <sheetViews>
    <sheetView workbookViewId="0">
      <selection activeCell="E10" sqref="E10"/>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69</v>
      </c>
      <c r="C1" t="s">
        <v>39</v>
      </c>
      <c r="D1" t="s">
        <v>228</v>
      </c>
      <c r="E1" t="s">
        <v>227</v>
      </c>
      <c r="G1" t="s">
        <v>69</v>
      </c>
      <c r="H1" t="s">
        <v>39</v>
      </c>
      <c r="I1" t="s">
        <v>234</v>
      </c>
    </row>
    <row r="2" spans="1:9" x14ac:dyDescent="0.25">
      <c r="A2">
        <v>0</v>
      </c>
      <c r="B2" s="7">
        <v>0.15</v>
      </c>
      <c r="C2" t="s">
        <v>65</v>
      </c>
      <c r="D2" t="str">
        <f>"!["&amp;Rating[[#Headers],[level-to-worse]]&amp;"-"&amp;Rating[[#This Row],[N]]&amp;"](https://github.com/OrcaSlicer/OrcaSlicer_WIKI/blob/main/images/images/misc/"&amp;Rating[[#Headers],[level-to-worse]]&amp;"-"&amp;Rating[[#This Row],[N]]&amp;".svg?raw=true)"</f>
        <v>![level-to-worse-0](https://github.com/OrcaSlicer/OrcaSlicer_WIKI/blob/main/images/images/misc/level-to-worse-0.svg?raw=true)</v>
      </c>
      <c r="E2" t="str">
        <f>"!["&amp;Rating[[#Headers],[level-to-better]]&amp;"-"&amp;Rating[[#This Row],[N]]&amp;"](https://github.com/OrcaSlicer/OrcaSlicer_WIKI/blob/main/images/images/misc/"&amp;Rating[[#Headers],[level-to-better]]&amp;"-"&amp;Rating[[#This Row],[N]]&amp;".svg?raw=true)"</f>
        <v>![level-to-better-0](https://github.com/OrcaSlicer/OrcaSlicer_WIKI/blob/main/images/images/misc/level-to-better-0.svg?raw=true)</v>
      </c>
      <c r="G2" s="2">
        <v>0.01</v>
      </c>
      <c r="H2" t="s">
        <v>239</v>
      </c>
      <c r="I2" t="s">
        <v>235</v>
      </c>
    </row>
    <row r="3" spans="1:9" x14ac:dyDescent="0.25">
      <c r="A3">
        <v>1</v>
      </c>
      <c r="B3" s="7">
        <v>0.4</v>
      </c>
      <c r="C3" t="s">
        <v>66</v>
      </c>
      <c r="D3" t="str">
        <f>"!["&amp;Rating[[#Headers],[level-to-worse]]&amp;"-"&amp;Rating[[#This Row],[N]]&amp;"](https://github.com/OrcaSlicer/OrcaSlicer_WIKI/blob/main/images/images/misc/"&amp;Rating[[#Headers],[level-to-worse]]&amp;"-"&amp;Rating[[#This Row],[N]]&amp;".svg?raw=true)"</f>
        <v>![level-to-worse-1](https://github.com/OrcaSlicer/OrcaSlicer_WIKI/blob/main/images/images/misc/level-to-worse-1.svg?raw=true)</v>
      </c>
      <c r="E3" t="str">
        <f>"!["&amp;Rating[[#Headers],[level-to-better]]&amp;"-"&amp;Rating[[#This Row],[N]]&amp;"](https://github.com/OrcaSlicer/OrcaSlicer_WIKI/blob/main/images/images/misc/"&amp;Rating[[#Headers],[level-to-better]]&amp;"-"&amp;Rating[[#This Row],[N]]&amp;".svg?raw=true)"</f>
        <v>![level-to-better-1](https://github.com/OrcaSlicer/OrcaSlicer_WIKI/blob/main/images/images/misc/level-to-better-1.svg?raw=true)</v>
      </c>
      <c r="G3" s="2">
        <v>0.3</v>
      </c>
      <c r="H3" t="s">
        <v>240</v>
      </c>
      <c r="I3" t="s">
        <v>236</v>
      </c>
    </row>
    <row r="4" spans="1:9" x14ac:dyDescent="0.25">
      <c r="A4">
        <v>2</v>
      </c>
      <c r="B4" s="7">
        <v>0.75</v>
      </c>
      <c r="C4" t="s">
        <v>21</v>
      </c>
      <c r="D4" t="str">
        <f>"!["&amp;Rating[[#Headers],[level-to-worse]]&amp;"-"&amp;Rating[[#This Row],[N]]&amp;"](https://github.com/OrcaSlicer/OrcaSlicer_WIKI/blob/main/images/images/misc/"&amp;Rating[[#Headers],[level-to-worse]]&amp;"-"&amp;Rating[[#This Row],[N]]&amp;".svg?raw=true)"</f>
        <v>![level-to-worse-2](https://github.com/OrcaSlicer/OrcaSlicer_WIKI/blob/main/images/images/misc/level-to-worse-2.svg?raw=true)</v>
      </c>
      <c r="E4" t="str">
        <f>"!["&amp;Rating[[#Headers],[level-to-better]]&amp;"-"&amp;Rating[[#This Row],[N]]&amp;"](https://github.com/OrcaSlicer/OrcaSlicer_WIKI/blob/main/images/images/misc/"&amp;Rating[[#Headers],[level-to-better]]&amp;"-"&amp;Rating[[#This Row],[N]]&amp;".svg?raw=true)"</f>
        <v>![level-to-better-2](https://github.com/OrcaSlicer/OrcaSlicer_WIKI/blob/main/images/images/misc/level-to-better-2.svg?raw=true)</v>
      </c>
      <c r="G4" s="2">
        <v>0.75</v>
      </c>
      <c r="H4" t="s">
        <v>241</v>
      </c>
      <c r="I4" t="s">
        <v>237</v>
      </c>
    </row>
    <row r="5" spans="1:9" x14ac:dyDescent="0.25">
      <c r="A5">
        <v>3</v>
      </c>
      <c r="B5" s="7">
        <v>0.92500000000000004</v>
      </c>
      <c r="C5" t="s">
        <v>23</v>
      </c>
      <c r="D5" t="str">
        <f>"!["&amp;Rating[[#Headers],[level-to-worse]]&amp;"-"&amp;Rating[[#This Row],[N]]&amp;"](https://github.com/OrcaSlicer/OrcaSlicer_WIKI/blob/main/images/images/misc/"&amp;Rating[[#Headers],[level-to-worse]]&amp;"-"&amp;Rating[[#This Row],[N]]&amp;".svg?raw=true)"</f>
        <v>![level-to-worse-3](https://github.com/OrcaSlicer/OrcaSlicer_WIKI/blob/main/images/images/misc/level-to-worse-3.svg?raw=true)</v>
      </c>
      <c r="E5" t="str">
        <f>"!["&amp;Rating[[#Headers],[level-to-better]]&amp;"-"&amp;Rating[[#This Row],[N]]&amp;"](https://github.com/OrcaSlicer/OrcaSlicer_WIKI/blob/main/images/images/misc/"&amp;Rating[[#Headers],[level-to-better]]&amp;"-"&amp;Rating[[#This Row],[N]]&amp;".svg?raw=true)"</f>
        <v>![level-to-better-3](https://github.com/OrcaSlicer/OrcaSlicer_WIKI/blob/main/images/images/misc/level-to-better-3.svg?raw=true)</v>
      </c>
      <c r="G5" s="2">
        <v>999</v>
      </c>
      <c r="H5" t="s">
        <v>242</v>
      </c>
      <c r="I5" t="s">
        <v>238</v>
      </c>
    </row>
    <row r="6" spans="1:9" x14ac:dyDescent="0.25">
      <c r="A6">
        <v>4</v>
      </c>
      <c r="B6" s="7">
        <v>1.075</v>
      </c>
      <c r="C6" t="s">
        <v>22</v>
      </c>
      <c r="D6" t="str">
        <f>"!["&amp;Rating[[#Headers],[level-to-worse]]&amp;"-"&amp;Rating[[#This Row],[N]]&amp;"](https://github.com/OrcaSlicer/OrcaSlicer_WIKI/blob/main/images/images/misc/"&amp;Rating[[#Headers],[level-to-worse]]&amp;"-"&amp;Rating[[#This Row],[N]]&amp;".svg?raw=true)"</f>
        <v>![level-to-worse-4](https://github.com/OrcaSlicer/OrcaSlicer_WIKI/blob/main/images/images/misc/level-to-worse-4.svg?raw=true)</v>
      </c>
      <c r="E6" t="str">
        <f>"!["&amp;Rating[[#Headers],[level-to-better]]&amp;"-"&amp;Rating[[#This Row],[N]]&amp;"](https://github.com/OrcaSlicer/OrcaSlicer_WIKI/blob/main/images/images/misc/"&amp;Rating[[#Headers],[level-to-better]]&amp;"-"&amp;Rating[[#This Row],[N]]&amp;".svg?raw=true)"</f>
        <v>![level-to-better-4](https://github.com/OrcaSlicer/OrcaSlicer_WIKI/blob/main/images/images/misc/level-to-better-4.svg?raw=true)</v>
      </c>
    </row>
    <row r="7" spans="1:9" x14ac:dyDescent="0.25">
      <c r="A7">
        <v>5</v>
      </c>
      <c r="B7" s="7">
        <v>1.25</v>
      </c>
      <c r="C7" t="s">
        <v>24</v>
      </c>
      <c r="D7" t="str">
        <f>"!["&amp;Rating[[#Headers],[level-to-worse]]&amp;"-"&amp;Rating[[#This Row],[N]]&amp;"](https://github.com/OrcaSlicer/OrcaSlicer_WIKI/blob/main/images/images/misc/"&amp;Rating[[#Headers],[level-to-worse]]&amp;"-"&amp;Rating[[#This Row],[N]]&amp;".svg?raw=true)"</f>
        <v>![level-to-worse-5](https://github.com/OrcaSlicer/OrcaSlicer_WIKI/blob/main/images/images/misc/level-to-worse-5.svg?raw=true)</v>
      </c>
      <c r="E7" t="str">
        <f>"!["&amp;Rating[[#Headers],[level-to-better]]&amp;"-"&amp;Rating[[#This Row],[N]]&amp;"](https://github.com/OrcaSlicer/OrcaSlicer_WIKI/blob/main/images/images/misc/"&amp;Rating[[#Headers],[level-to-better]]&amp;"-"&amp;Rating[[#This Row],[N]]&amp;".svg?raw=true)"</f>
        <v>![level-to-better-5](https://github.com/OrcaSlicer/OrcaSlicer_WIKI/blob/main/images/images/misc/level-to-better-5.svg?raw=true)</v>
      </c>
    </row>
    <row r="8" spans="1:9" x14ac:dyDescent="0.25">
      <c r="A8">
        <v>6</v>
      </c>
      <c r="B8" s="7">
        <v>1.6</v>
      </c>
      <c r="C8" t="s">
        <v>20</v>
      </c>
      <c r="D8" t="str">
        <f>"!["&amp;Rating[[#Headers],[level-to-worse]]&amp;"-"&amp;Rating[[#This Row],[N]]&amp;"](https://github.com/OrcaSlicer/OrcaSlicer_WIKI/blob/main/images/images/misc/"&amp;Rating[[#Headers],[level-to-worse]]&amp;"-"&amp;Rating[[#This Row],[N]]&amp;".svg?raw=true)"</f>
        <v>![level-to-worse-6](https://github.com/OrcaSlicer/OrcaSlicer_WIKI/blob/main/images/images/misc/level-to-worse-6.svg?raw=true)</v>
      </c>
      <c r="E8" t="str">
        <f>"!["&amp;Rating[[#Headers],[level-to-better]]&amp;"-"&amp;Rating[[#This Row],[N]]&amp;"](https://github.com/OrcaSlicer/OrcaSlicer_WIKI/blob/main/images/images/misc/"&amp;Rating[[#Headers],[level-to-better]]&amp;"-"&amp;Rating[[#This Row],[N]]&amp;".svg?raw=true)"</f>
        <v>![level-to-better-6](https://github.com/OrcaSlicer/OrcaSlicer_WIKI/blob/main/images/images/misc/level-to-better-6.svg?raw=true)</v>
      </c>
    </row>
    <row r="9" spans="1:9" x14ac:dyDescent="0.25">
      <c r="A9">
        <v>7</v>
      </c>
      <c r="B9" s="7">
        <v>1.85</v>
      </c>
      <c r="C9" t="s">
        <v>67</v>
      </c>
      <c r="D9" t="str">
        <f>"!["&amp;Rating[[#Headers],[level-to-worse]]&amp;"-"&amp;Rating[[#This Row],[N]]&amp;"](https://github.com/OrcaSlicer/OrcaSlicer_WIKI/blob/main/images/images/misc/"&amp;Rating[[#Headers],[level-to-worse]]&amp;"-"&amp;Rating[[#This Row],[N]]&amp;".svg?raw=true)"</f>
        <v>![level-to-worse-7](https://github.com/OrcaSlicer/OrcaSlicer_WIKI/blob/main/images/images/misc/level-to-worse-7.svg?raw=true)</v>
      </c>
      <c r="E9" t="str">
        <f>"!["&amp;Rating[[#Headers],[level-to-better]]&amp;"-"&amp;Rating[[#This Row],[N]]&amp;"](https://github.com/OrcaSlicer/OrcaSlicer_WIKI/blob/main/images/images/misc/"&amp;Rating[[#Headers],[level-to-better]]&amp;"-"&amp;Rating[[#This Row],[N]]&amp;".svg?raw=true)"</f>
        <v>![level-to-better-7](https://github.com/OrcaSlicer/OrcaSlicer_WIKI/blob/main/images/images/misc/level-to-better-7.svg?raw=true)</v>
      </c>
    </row>
    <row r="10" spans="1:9" x14ac:dyDescent="0.25">
      <c r="A10">
        <v>8</v>
      </c>
      <c r="B10" s="7">
        <v>9.99</v>
      </c>
      <c r="C10" t="s">
        <v>68</v>
      </c>
      <c r="D10" t="str">
        <f>"!["&amp;Rating[[#Headers],[level-to-worse]]&amp;"-"&amp;Rating[[#This Row],[N]]&amp;"](https://github.com/OrcaSlicer/OrcaSlicer_WIKI/blob/main/images/images/misc/"&amp;Rating[[#Headers],[level-to-worse]]&amp;"-"&amp;Rating[[#This Row],[N]]&amp;".svg?raw=true)"</f>
        <v>![level-to-worse-8](https://github.com/OrcaSlicer/OrcaSlicer_WIKI/blob/main/images/images/misc/level-to-worse-8.svg?raw=true)</v>
      </c>
      <c r="E10" t="str">
        <f>"!["&amp;Rating[[#Headers],[level-to-better]]&amp;"-"&amp;Rating[[#This Row],[N]]&amp;"](https://github.com/OrcaSlicer/OrcaSlicer_WIKI/blob/main/images/images/misc/"&amp;Rating[[#Headers],[level-to-better]]&amp;"-"&amp;Rating[[#This Row],[N]]&amp;".svg?raw=true)"</f>
        <v>![level-to-better-8](https://github.com/OrcaSlicer/OrcaSlicer_WIKI/blob/main/images/images/misc/level-to-better-8.svg?raw=true)</v>
      </c>
    </row>
    <row r="18" spans="13:20" x14ac:dyDescent="0.25">
      <c r="M18" t="s">
        <v>226</v>
      </c>
    </row>
    <row r="20" spans="13:20" x14ac:dyDescent="0.25">
      <c r="M20" t="s">
        <v>40</v>
      </c>
      <c r="N20" t="s">
        <v>69</v>
      </c>
      <c r="O20" t="s">
        <v>39</v>
      </c>
      <c r="P20" t="s">
        <v>195</v>
      </c>
      <c r="Q20" t="s">
        <v>196</v>
      </c>
      <c r="S20" t="s">
        <v>69</v>
      </c>
      <c r="T20" t="s">
        <v>39</v>
      </c>
    </row>
    <row r="21" spans="13:20" x14ac:dyDescent="0.25">
      <c r="M21">
        <v>0</v>
      </c>
      <c r="N21" s="7">
        <v>0.15</v>
      </c>
      <c r="O21" t="s">
        <v>65</v>
      </c>
      <c r="P21" t="s">
        <v>218</v>
      </c>
      <c r="Q21" t="s">
        <v>213</v>
      </c>
      <c r="S21" s="2">
        <v>0.01</v>
      </c>
      <c r="T21" t="s">
        <v>214</v>
      </c>
    </row>
    <row r="22" spans="13:20" x14ac:dyDescent="0.25">
      <c r="M22">
        <v>1</v>
      </c>
      <c r="N22" s="7">
        <v>0.4</v>
      </c>
      <c r="O22" t="s">
        <v>66</v>
      </c>
      <c r="P22" t="s">
        <v>198</v>
      </c>
      <c r="Q22" t="s">
        <v>212</v>
      </c>
      <c r="S22" s="2">
        <v>0.3</v>
      </c>
      <c r="T22" t="s">
        <v>215</v>
      </c>
    </row>
    <row r="23" spans="13:20" x14ac:dyDescent="0.25">
      <c r="M23">
        <v>2</v>
      </c>
      <c r="N23" s="7">
        <v>0.75</v>
      </c>
      <c r="O23" t="s">
        <v>21</v>
      </c>
      <c r="P23" t="s">
        <v>199</v>
      </c>
      <c r="Q23" t="s">
        <v>211</v>
      </c>
      <c r="S23" s="2">
        <v>0.75</v>
      </c>
      <c r="T23" t="s">
        <v>216</v>
      </c>
    </row>
    <row r="24" spans="13:20" x14ac:dyDescent="0.25">
      <c r="M24">
        <v>3</v>
      </c>
      <c r="N24" s="7">
        <v>0.92500000000000004</v>
      </c>
      <c r="O24" t="s">
        <v>23</v>
      </c>
      <c r="P24" t="s">
        <v>200</v>
      </c>
      <c r="Q24" t="s">
        <v>210</v>
      </c>
      <c r="S24" s="2">
        <v>999</v>
      </c>
      <c r="T24" t="s">
        <v>217</v>
      </c>
    </row>
    <row r="25" spans="13:20" x14ac:dyDescent="0.25">
      <c r="M25">
        <v>4</v>
      </c>
      <c r="N25" s="7">
        <v>1.075</v>
      </c>
      <c r="O25" t="s">
        <v>22</v>
      </c>
      <c r="P25" t="s">
        <v>201</v>
      </c>
      <c r="Q25" t="s">
        <v>201</v>
      </c>
    </row>
    <row r="26" spans="13:20" x14ac:dyDescent="0.25">
      <c r="M26">
        <v>5</v>
      </c>
      <c r="N26" s="7">
        <v>1.25</v>
      </c>
      <c r="O26" t="s">
        <v>24</v>
      </c>
      <c r="P26" t="s">
        <v>202</v>
      </c>
      <c r="Q26" t="s">
        <v>209</v>
      </c>
    </row>
    <row r="27" spans="13:20" x14ac:dyDescent="0.25">
      <c r="M27">
        <v>6</v>
      </c>
      <c r="N27" s="7">
        <v>1.6</v>
      </c>
      <c r="O27" t="s">
        <v>20</v>
      </c>
      <c r="P27" t="s">
        <v>203</v>
      </c>
      <c r="Q27" t="s">
        <v>208</v>
      </c>
    </row>
    <row r="28" spans="13:20" x14ac:dyDescent="0.25">
      <c r="M28">
        <v>7</v>
      </c>
      <c r="N28" s="7">
        <v>1.85</v>
      </c>
      <c r="O28" t="s">
        <v>67</v>
      </c>
      <c r="P28" t="s">
        <v>204</v>
      </c>
      <c r="Q28" t="s">
        <v>207</v>
      </c>
    </row>
    <row r="29" spans="13:20" x14ac:dyDescent="0.25">
      <c r="M29">
        <v>8</v>
      </c>
      <c r="N29" s="7">
        <v>9.99</v>
      </c>
      <c r="O29" t="s">
        <v>68</v>
      </c>
      <c r="P29" t="s">
        <v>205</v>
      </c>
      <c r="Q29" t="s">
        <v>206</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190</v>
      </c>
      <c r="B1" t="s">
        <v>131</v>
      </c>
      <c r="C1" t="s">
        <v>129</v>
      </c>
      <c r="D1" t="s">
        <v>130</v>
      </c>
      <c r="E1" t="s">
        <v>133</v>
      </c>
      <c r="F1" t="s">
        <v>120</v>
      </c>
      <c r="G1" t="s">
        <v>137</v>
      </c>
      <c r="H1" t="s">
        <v>140</v>
      </c>
      <c r="I1" t="s">
        <v>123</v>
      </c>
      <c r="J1" t="s">
        <v>121</v>
      </c>
      <c r="K1" t="s">
        <v>126</v>
      </c>
      <c r="L1" t="s">
        <v>132</v>
      </c>
      <c r="M1" t="s">
        <v>128</v>
      </c>
      <c r="N1" t="s">
        <v>180</v>
      </c>
      <c r="O1" t="s">
        <v>181</v>
      </c>
      <c r="P1" t="s">
        <v>136</v>
      </c>
      <c r="Q1" t="s">
        <v>122</v>
      </c>
      <c r="R1" t="s">
        <v>141</v>
      </c>
      <c r="S1" t="s">
        <v>142</v>
      </c>
      <c r="T1" t="s">
        <v>143</v>
      </c>
      <c r="U1" t="s">
        <v>134</v>
      </c>
      <c r="V1" t="s">
        <v>138</v>
      </c>
      <c r="W1" t="s">
        <v>161</v>
      </c>
      <c r="X1" t="s">
        <v>135</v>
      </c>
      <c r="Y1" t="s">
        <v>127</v>
      </c>
      <c r="Z1" t="s">
        <v>164</v>
      </c>
      <c r="AA1" t="s">
        <v>125</v>
      </c>
      <c r="AB1" t="s">
        <v>124</v>
      </c>
      <c r="AC1" t="s">
        <v>139</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144</v>
      </c>
      <c r="D1" t="s">
        <v>43</v>
      </c>
      <c r="E1" t="s">
        <v>28</v>
      </c>
      <c r="F1" s="12" t="s">
        <v>191</v>
      </c>
      <c r="G1" t="s">
        <v>193</v>
      </c>
      <c r="H1" t="s">
        <v>194</v>
      </c>
    </row>
    <row r="2" spans="3:8" x14ac:dyDescent="0.25">
      <c r="C2" t="s">
        <v>122</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120</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142</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143</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125</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134</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133</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130</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124</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132</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140</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181</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121</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161</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128</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123</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141</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139</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138</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129</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126</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164</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131</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180</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127</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135</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137</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136</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2026-01-09T14:08:19Z</dcterms:modified>
</cp:coreProperties>
</file>